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c\S1 (2025-2026)\Dự án\Data\"/>
    </mc:Choice>
  </mc:AlternateContent>
  <xr:revisionPtr revIDLastSave="0" documentId="13_ncr:1_{75AF8837-7C96-4966-872F-8F1C31E4DA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1" i="1" l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<sst xmlns="http://schemas.openxmlformats.org/spreadsheetml/2006/main" count="463" uniqueCount="216">
  <si>
    <t>Name</t>
  </si>
  <si>
    <t>Lat</t>
  </si>
  <si>
    <t>Lon</t>
  </si>
  <si>
    <t>Base_Load_Peak</t>
  </si>
  <si>
    <t>Ba Đình</t>
  </si>
  <si>
    <t>Site_01</t>
  </si>
  <si>
    <t>Quảng trường Ba Đình</t>
  </si>
  <si>
    <t>Site_02</t>
  </si>
  <si>
    <t>Bãi đỗ xe công viên Thủ Lệ</t>
  </si>
  <si>
    <t>Site_03</t>
  </si>
  <si>
    <t>Bãi đỗ xe 81 Láng Hạ</t>
  </si>
  <si>
    <t>Site_04</t>
  </si>
  <si>
    <t>D6 Thành Công</t>
  </si>
  <si>
    <t>Site_05</t>
  </si>
  <si>
    <t>Đường thanh niên</t>
  </si>
  <si>
    <t>Site_06</t>
  </si>
  <si>
    <t>Vincom Center Metropolis</t>
  </si>
  <si>
    <t>Site_07</t>
  </si>
  <si>
    <t>LOTTE Mart</t>
  </si>
  <si>
    <t>Site_08</t>
  </si>
  <si>
    <t>Bãi đỗ xe Ngọc Hà</t>
  </si>
  <si>
    <t>Hoàn Kiếm</t>
  </si>
  <si>
    <t>Site_09</t>
  </si>
  <si>
    <t>Bac Co Parking</t>
  </si>
  <si>
    <t>Site_10</t>
  </si>
  <si>
    <t>Bãi gửi xe Mirai</t>
  </si>
  <si>
    <t>Site_11</t>
  </si>
  <si>
    <t>DCAR XANH</t>
  </si>
  <si>
    <t>Site_12</t>
  </si>
  <si>
    <t>Nhà xe Vấn Quyên</t>
  </si>
  <si>
    <t>Site_13</t>
  </si>
  <si>
    <t>Trang Tien Plaza</t>
  </si>
  <si>
    <t>Site_14</t>
  </si>
  <si>
    <t>Trung Tâm Thương Mại Hàng Da</t>
  </si>
  <si>
    <t>Site_15</t>
  </si>
  <si>
    <t>Central Building</t>
  </si>
  <si>
    <t>Site_16</t>
  </si>
  <si>
    <t>Quảng trường Đông Kinh Nghĩa Thục</t>
  </si>
  <si>
    <t>Đống Đa</t>
  </si>
  <si>
    <t>Site_17</t>
  </si>
  <si>
    <t>Viettower Building</t>
  </si>
  <si>
    <t>Site_18</t>
  </si>
  <si>
    <t>Bãi gửi xe ở phố Hoàng Cầu</t>
  </si>
  <si>
    <t>Site_19</t>
  </si>
  <si>
    <t>Bãi đỗ xe Trường Chinh</t>
  </si>
  <si>
    <t>Site_20</t>
  </si>
  <si>
    <t>Bãi giữ xe đình Kim Liên</t>
  </si>
  <si>
    <t>Site_21</t>
  </si>
  <si>
    <t>Công viên Đống Đa</t>
  </si>
  <si>
    <t>Site_22</t>
  </si>
  <si>
    <t>P. Chùa Bộc</t>
  </si>
  <si>
    <t>Site_23</t>
  </si>
  <si>
    <t>Đại học Y Hà Nội</t>
  </si>
  <si>
    <t>Site_24</t>
  </si>
  <si>
    <t>P. Ô Chợ Dừa</t>
  </si>
  <si>
    <t>Hai Bà Trưng</t>
  </si>
  <si>
    <t>Site_25</t>
  </si>
  <si>
    <t>Vincom Center Bà Triệu</t>
  </si>
  <si>
    <t>Site_26</t>
  </si>
  <si>
    <t>Times City T11</t>
  </si>
  <si>
    <t>Site_27</t>
  </si>
  <si>
    <t>Công viên Thống Nhất</t>
  </si>
  <si>
    <t>Site_28</t>
  </si>
  <si>
    <t>Bãi xe ô tô P. Võ Thị Sáu</t>
  </si>
  <si>
    <t>Site_29</t>
  </si>
  <si>
    <t>Hòa Bình Green City</t>
  </si>
  <si>
    <t>Site_30</t>
  </si>
  <si>
    <t>Bệnh viện Thanh Nhàn</t>
  </si>
  <si>
    <t>Site_31</t>
  </si>
  <si>
    <t>P. Kim Ngưu</t>
  </si>
  <si>
    <t>Site_32</t>
  </si>
  <si>
    <t>Chợ Mơ</t>
  </si>
  <si>
    <t>Hoàng Mai</t>
  </si>
  <si>
    <t>Site_33</t>
  </si>
  <si>
    <t>Bãi xe khu đô thị Linh Đàm</t>
  </si>
  <si>
    <t>Site_34</t>
  </si>
  <si>
    <t>Bến xe Nước Ngầm</t>
  </si>
  <si>
    <t>Site_35</t>
  </si>
  <si>
    <t>Đền Lừ</t>
  </si>
  <si>
    <t>Site_36</t>
  </si>
  <si>
    <t>Công viên Yên Sở</t>
  </si>
  <si>
    <t>Site_37</t>
  </si>
  <si>
    <t>Trương Định Plaza</t>
  </si>
  <si>
    <t>Site_38</t>
  </si>
  <si>
    <t>Rice City</t>
  </si>
  <si>
    <t>Site_39</t>
  </si>
  <si>
    <t>Chung cư Đại Kim</t>
  </si>
  <si>
    <t>Site_40</t>
  </si>
  <si>
    <t>Bến xe Giáp Bát</t>
  </si>
  <si>
    <t>Thanh Xuân</t>
  </si>
  <si>
    <t>Site_41</t>
  </si>
  <si>
    <t>Royal City</t>
  </si>
  <si>
    <t>Site_42</t>
  </si>
  <si>
    <t>Bãi Đậu Xe 24/7</t>
  </si>
  <si>
    <t>Site_43</t>
  </si>
  <si>
    <t>Bãi đỗ xe Phùng Khoang</t>
  </si>
  <si>
    <t>Site_44</t>
  </si>
  <si>
    <t>Site_45</t>
  </si>
  <si>
    <t>Công viên hồ điều hòa Nhân Chính</t>
  </si>
  <si>
    <t>Site_46</t>
  </si>
  <si>
    <t>Hapulico Complex</t>
  </si>
  <si>
    <t>Site_47</t>
  </si>
  <si>
    <t>Goldseason</t>
  </si>
  <si>
    <t>Site_48</t>
  </si>
  <si>
    <t>Bãi đỗ xe Kim Giang</t>
  </si>
  <si>
    <t>Cầu Giấy</t>
  </si>
  <si>
    <t>Site_49</t>
  </si>
  <si>
    <t>Vincom Center Trần Duy Hưng</t>
  </si>
  <si>
    <t>Site_50</t>
  </si>
  <si>
    <t>Big C Thăng Long</t>
  </si>
  <si>
    <t>Site_51</t>
  </si>
  <si>
    <t>Indochina Plaza Hà Nội</t>
  </si>
  <si>
    <t>Site_52</t>
  </si>
  <si>
    <t>Trần Duy Hưng Parking Complex</t>
  </si>
  <si>
    <t>Site_53</t>
  </si>
  <si>
    <t>Chung cư Discovery Complex</t>
  </si>
  <si>
    <t>Site_54</t>
  </si>
  <si>
    <t>Khu đô thị Yên Hòa</t>
  </si>
  <si>
    <t>Site_55</t>
  </si>
  <si>
    <t>Bãi đỗ xe ĐH Quốc Gia Hà Nội</t>
  </si>
  <si>
    <t>Long Biên</t>
  </si>
  <si>
    <t>Site_56</t>
  </si>
  <si>
    <t>Vincom Plaza Long Biên</t>
  </si>
  <si>
    <t>Site_57</t>
  </si>
  <si>
    <t>AEON Mall Long Biên</t>
  </si>
  <si>
    <t>Site_58</t>
  </si>
  <si>
    <t>Bãi đỗ xe Sân Golf Long Biên</t>
  </si>
  <si>
    <t>Site_59</t>
  </si>
  <si>
    <t>Khu đô thị Vinhomes Riverside</t>
  </si>
  <si>
    <t>Site_60</t>
  </si>
  <si>
    <t>Savico MegaMall Long Biên</t>
  </si>
  <si>
    <t>Site_61</t>
  </si>
  <si>
    <t>Chung cư Mipec Riverside</t>
  </si>
  <si>
    <t>Site_62</t>
  </si>
  <si>
    <t>Bãi xe Cầu Vĩnh Tuy</t>
  </si>
  <si>
    <t>Hà Đông</t>
  </si>
  <si>
    <t>Site_63</t>
  </si>
  <si>
    <t>Vincom Mega Mall Hà Đông</t>
  </si>
  <si>
    <t>Site_64</t>
  </si>
  <si>
    <t>AEON Mall Hà Đông</t>
  </si>
  <si>
    <t>Site_65</t>
  </si>
  <si>
    <t>Bến xe Yên Nghĩa</t>
  </si>
  <si>
    <t>Site_66</t>
  </si>
  <si>
    <t>Khu đô thị Văn Phú</t>
  </si>
  <si>
    <t>Site_67</t>
  </si>
  <si>
    <t>Chung cư The Pride</t>
  </si>
  <si>
    <t>Site_68</t>
  </si>
  <si>
    <t>Khu đô thị Dương Nội</t>
  </si>
  <si>
    <t>Site_69</t>
  </si>
  <si>
    <t>Bãi xe Mê Linh Plaza Hà Đông</t>
  </si>
  <si>
    <t>Tây Hồ</t>
  </si>
  <si>
    <t>Site_70</t>
  </si>
  <si>
    <t>Lotte Mall West Lake Hanoi</t>
  </si>
  <si>
    <t>Site_71</t>
  </si>
  <si>
    <t>Ciputra Parking Complex</t>
  </si>
  <si>
    <t>Site_72</t>
  </si>
  <si>
    <t>Khu đô thị Ciputra</t>
  </si>
  <si>
    <t>Site_73</t>
  </si>
  <si>
    <t>Công viên nước Hồ Tây</t>
  </si>
  <si>
    <t>Site_74</t>
  </si>
  <si>
    <t>Sheraton Hanoi Hotel Parking</t>
  </si>
  <si>
    <t>Site_75</t>
  </si>
  <si>
    <t>Chung cư Watermark Hồ Tây</t>
  </si>
  <si>
    <t>Site_76</t>
  </si>
  <si>
    <t>Bãi đỗ xe Phủ Tây Hồ</t>
  </si>
  <si>
    <t>Bắc Từ Liêm</t>
  </si>
  <si>
    <t>Site_77</t>
  </si>
  <si>
    <t>Đại học Mỏ Địa Chất Parking</t>
  </si>
  <si>
    <t>Site_78</t>
  </si>
  <si>
    <t>Công viên Hòa Bình</t>
  </si>
  <si>
    <t>Site_79</t>
  </si>
  <si>
    <t>Khu đô thị Ngoại Giao Đoàn</t>
  </si>
  <si>
    <t>Site_80</t>
  </si>
  <si>
    <t>Chung cư Green Stars</t>
  </si>
  <si>
    <t>Site_81</t>
  </si>
  <si>
    <t>Bãi đỗ xe Phạm Văn Đồng</t>
  </si>
  <si>
    <t>Site_82</t>
  </si>
  <si>
    <t>Khu đô thị Thành phố Giao Lưu</t>
  </si>
  <si>
    <t>Site_83</t>
  </si>
  <si>
    <t>Bãi xe Bộ Công An Cổ Nhuế</t>
  </si>
  <si>
    <t>Nam Từ Liêm</t>
  </si>
  <si>
    <t>Site_84</t>
  </si>
  <si>
    <t>Vincom Plaza The Garden</t>
  </si>
  <si>
    <t>Site_85</t>
  </si>
  <si>
    <t>Keangnam Landmark Tower</t>
  </si>
  <si>
    <t>Site_86</t>
  </si>
  <si>
    <t>Sân vận động Mỹ Đình</t>
  </si>
  <si>
    <t>Site_87</t>
  </si>
  <si>
    <t>Trung tâm Hội nghị Quốc gia</t>
  </si>
  <si>
    <t>Site_88</t>
  </si>
  <si>
    <t>Chung cư Vinhomes Green Bay</t>
  </si>
  <si>
    <t>Site_89</t>
  </si>
  <si>
    <t>Bến xe Mỹ Đình</t>
  </si>
  <si>
    <t>Site_90</t>
  </si>
  <si>
    <t>Khu đô thị Mễ Trì</t>
  </si>
  <si>
    <t>D_01</t>
  </si>
  <si>
    <t>D_02</t>
  </si>
  <si>
    <t>D_06</t>
  </si>
  <si>
    <t>D_07</t>
  </si>
  <si>
    <t>D_08</t>
  </si>
  <si>
    <t>D_09</t>
  </si>
  <si>
    <t>D_05</t>
  </si>
  <si>
    <t>D_04</t>
  </si>
  <si>
    <t>D_12</t>
  </si>
  <si>
    <t>D_03</t>
  </si>
  <si>
    <t>D_10</t>
  </si>
  <si>
    <t>D_11</t>
  </si>
  <si>
    <t>District_ID</t>
  </si>
  <si>
    <t>Ten_Quan</t>
  </si>
  <si>
    <t>Site_ID</t>
  </si>
  <si>
    <t xml:space="preserve">District </t>
  </si>
  <si>
    <t>Land-cost</t>
  </si>
  <si>
    <t xml:space="preserve">Rented_land_cost </t>
  </si>
  <si>
    <t xml:space="preserve">Install_Cost </t>
  </si>
  <si>
    <t xml:space="preserve">Area </t>
  </si>
  <si>
    <t>Grid_Cap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</si>
</sst>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"/>
  </numFmts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'Google Sans Text'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000000"/>
      <name val="'Google Sans Text'"/>
    </font>
    <font>
      <sz val="10"/>
      <color rgb="FF1F1F1F"/>
      <name val="&quot;Google Sans&quot;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/>
    <xf numFmtId="0" fontId="5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164" fontId="1" fillId="0" borderId="2" xfId="0" applyNumberFormat="1" applyFont="1" applyBorder="1" applyAlignment="1"/>
    <xf numFmtId="0" fontId="1" fillId="0" borderId="2" xfId="0" applyFont="1" applyBorder="1" applyAlignment="1"/>
    <xf numFmtId="3" fontId="1" fillId="0" borderId="2" xfId="0" applyNumberFormat="1" applyFont="1" applyBorder="1" applyAlignment="1"/>
    <xf numFmtId="3" fontId="1" fillId="0" borderId="2" xfId="0" applyNumberFormat="1" applyFont="1" applyBorder="1"/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8" fillId="0" borderId="0" xfId="0" applyFont="1" applyAlignment="1"/>
    <xf numFmtId="0" fontId="1" fillId="0" borderId="0" xfId="0" applyFont="1" applyAlignment="1"/>
    <xf numFmtId="0" fontId="5" fillId="0" borderId="0" xfId="0" applyFont="1" applyAlignment="1">
      <alignment horizontal="center"/>
    </xf>
    <xf numFmtId="164" fontId="1" fillId="0" borderId="0" xfId="0" applyNumberFormat="1" applyFont="1" applyAlignment="1"/>
    <xf numFmtId="3" fontId="1" fillId="0" borderId="0" xfId="0" applyNumberFormat="1" applyFont="1" applyAlignment="1"/>
    <xf numFmtId="3" fontId="1" fillId="0" borderId="0" xfId="0" applyNumberFormat="1" applyFont="1"/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1" fillId="0" borderId="5" xfId="0" applyFont="1" applyBorder="1" applyAlignment="1"/>
    <xf numFmtId="164" fontId="1" fillId="0" borderId="5" xfId="0" applyNumberFormat="1" applyFont="1" applyBorder="1" applyAlignment="1"/>
    <xf numFmtId="3" fontId="1" fillId="0" borderId="5" xfId="0" applyNumberFormat="1" applyFont="1" applyBorder="1" applyAlignment="1"/>
    <xf numFmtId="3" fontId="1" fillId="0" borderId="5" xfId="0" applyNumberFormat="1" applyFont="1" applyBorder="1"/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5" xfId="0" applyFont="1" applyFill="1" applyBorder="1" applyAlignment="1">
      <alignment horizontal="left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61"/>
  <sheetViews>
    <sheetView tabSelected="1" zoomScale="85" zoomScaleNormal="85" workbookViewId="0">
      <selection activeCell="P30" sqref="P30"/>
    </sheetView>
  </sheetViews>
  <sheetFormatPr defaultColWidth="12.5703125" defaultRowHeight="15.75" customHeight="1"/>
  <cols>
    <col min="2" max="2" width="12.5703125" style="44"/>
    <col min="3" max="3" width="14.28515625" customWidth="1"/>
    <col min="4" max="4" width="26.42578125" customWidth="1"/>
    <col min="7" max="7" width="12.85546875" customWidth="1"/>
    <col min="8" max="8" width="16.85546875" customWidth="1"/>
    <col min="9" max="9" width="17.7109375" customWidth="1"/>
    <col min="10" max="10" width="14.5703125" customWidth="1"/>
    <col min="12" max="12" width="17.140625" customWidth="1"/>
    <col min="16" max="16" width="15.5703125" customWidth="1"/>
  </cols>
  <sheetData>
    <row r="1" spans="1:19">
      <c r="A1" s="1" t="s">
        <v>208</v>
      </c>
      <c r="B1" s="1" t="s">
        <v>207</v>
      </c>
      <c r="C1" s="2" t="s">
        <v>209</v>
      </c>
      <c r="D1" s="2" t="s">
        <v>0</v>
      </c>
      <c r="E1" s="3" t="s">
        <v>1</v>
      </c>
      <c r="F1" s="3" t="s">
        <v>2</v>
      </c>
      <c r="G1" s="2" t="s">
        <v>210</v>
      </c>
      <c r="H1" s="4" t="s">
        <v>211</v>
      </c>
      <c r="I1" s="5" t="s">
        <v>212</v>
      </c>
      <c r="J1" s="5" t="s">
        <v>213</v>
      </c>
      <c r="K1" s="2" t="s">
        <v>214</v>
      </c>
      <c r="L1" s="2" t="s">
        <v>215</v>
      </c>
      <c r="M1" s="2" t="s">
        <v>3</v>
      </c>
      <c r="O1" s="6"/>
    </row>
    <row r="2" spans="1:19">
      <c r="A2" s="45" t="s">
        <v>4</v>
      </c>
      <c r="B2" s="43" t="s">
        <v>196</v>
      </c>
      <c r="C2" s="7" t="s">
        <v>5</v>
      </c>
      <c r="D2" s="8" t="s">
        <v>6</v>
      </c>
      <c r="E2" s="9">
        <v>21.037588276759902</v>
      </c>
      <c r="F2" s="9">
        <v>105.836016798972</v>
      </c>
      <c r="G2" s="10" t="s">
        <v>4</v>
      </c>
      <c r="H2" s="11">
        <v>150000000</v>
      </c>
      <c r="I2" s="12">
        <f t="shared" ref="I2:I91" si="0">H2*K2*10%</f>
        <v>1200000000</v>
      </c>
      <c r="J2" s="11">
        <v>250000000</v>
      </c>
      <c r="K2" s="44">
        <v>80</v>
      </c>
      <c r="L2" s="13">
        <v>500</v>
      </c>
      <c r="M2" s="14">
        <v>900</v>
      </c>
      <c r="O2" s="15"/>
      <c r="P2" s="47"/>
      <c r="Q2" s="47"/>
      <c r="R2" s="48"/>
      <c r="S2" s="48"/>
    </row>
    <row r="3" spans="1:19">
      <c r="A3" s="45" t="s">
        <v>4</v>
      </c>
      <c r="B3" s="43" t="s">
        <v>196</v>
      </c>
      <c r="C3" s="17" t="s">
        <v>7</v>
      </c>
      <c r="D3" s="16" t="s">
        <v>8</v>
      </c>
      <c r="E3" s="18">
        <v>21.0321415763038</v>
      </c>
      <c r="F3" s="18">
        <v>105.809331852041</v>
      </c>
      <c r="G3" s="16" t="s">
        <v>4</v>
      </c>
      <c r="H3" s="19">
        <v>50000000</v>
      </c>
      <c r="I3" s="20">
        <f t="shared" si="0"/>
        <v>450000000</v>
      </c>
      <c r="J3" s="19">
        <v>200000000</v>
      </c>
      <c r="K3" s="44">
        <v>90</v>
      </c>
      <c r="L3" s="21">
        <v>400</v>
      </c>
      <c r="M3" s="22">
        <v>700</v>
      </c>
      <c r="O3" s="15"/>
      <c r="P3" s="47"/>
      <c r="Q3" s="47"/>
      <c r="R3" s="48"/>
      <c r="S3" s="48"/>
    </row>
    <row r="4" spans="1:19">
      <c r="A4" s="45" t="s">
        <v>4</v>
      </c>
      <c r="B4" s="43" t="s">
        <v>196</v>
      </c>
      <c r="C4" s="17" t="s">
        <v>9</v>
      </c>
      <c r="D4" s="16" t="s">
        <v>10</v>
      </c>
      <c r="E4" s="18">
        <v>21.018024526302899</v>
      </c>
      <c r="F4" s="18">
        <v>105.816901052041</v>
      </c>
      <c r="G4" s="16" t="s">
        <v>4</v>
      </c>
      <c r="H4" s="19">
        <v>95000000</v>
      </c>
      <c r="I4" s="20">
        <f t="shared" si="0"/>
        <v>665000000</v>
      </c>
      <c r="J4" s="19">
        <v>220000000</v>
      </c>
      <c r="K4" s="44">
        <v>70</v>
      </c>
      <c r="L4" s="21">
        <v>400</v>
      </c>
      <c r="M4" s="22">
        <v>650</v>
      </c>
      <c r="O4" s="15"/>
      <c r="P4" s="47"/>
      <c r="Q4" s="47"/>
      <c r="R4" s="48"/>
      <c r="S4" s="48"/>
    </row>
    <row r="5" spans="1:19">
      <c r="A5" s="45" t="s">
        <v>4</v>
      </c>
      <c r="B5" s="43" t="s">
        <v>196</v>
      </c>
      <c r="C5" s="17" t="s">
        <v>11</v>
      </c>
      <c r="D5" s="16" t="s">
        <v>12</v>
      </c>
      <c r="E5" s="18">
        <v>21.023812258771201</v>
      </c>
      <c r="F5" s="18">
        <v>105.812943825055</v>
      </c>
      <c r="G5" s="16" t="s">
        <v>4</v>
      </c>
      <c r="H5" s="19">
        <v>55000000</v>
      </c>
      <c r="I5" s="20">
        <f t="shared" si="0"/>
        <v>330000000</v>
      </c>
      <c r="J5" s="19">
        <v>180000000</v>
      </c>
      <c r="K5" s="44">
        <v>60</v>
      </c>
      <c r="L5" s="21">
        <v>300</v>
      </c>
      <c r="M5" s="22">
        <v>500</v>
      </c>
      <c r="O5" s="15"/>
      <c r="P5" s="47"/>
      <c r="Q5" s="47"/>
      <c r="R5" s="48"/>
      <c r="S5" s="48"/>
    </row>
    <row r="6" spans="1:19">
      <c r="A6" s="45" t="s">
        <v>4</v>
      </c>
      <c r="B6" s="43" t="s">
        <v>196</v>
      </c>
      <c r="C6" s="17" t="s">
        <v>13</v>
      </c>
      <c r="D6" s="16" t="s">
        <v>14</v>
      </c>
      <c r="E6" s="18">
        <v>21.047554515383801</v>
      </c>
      <c r="F6" s="18">
        <v>105.83722099437</v>
      </c>
      <c r="G6" s="16" t="s">
        <v>4</v>
      </c>
      <c r="H6" s="19">
        <v>70000000</v>
      </c>
      <c r="I6" s="20">
        <f t="shared" si="0"/>
        <v>490000000</v>
      </c>
      <c r="J6" s="19">
        <v>200000000</v>
      </c>
      <c r="K6" s="44">
        <v>70</v>
      </c>
      <c r="L6" s="21">
        <v>350</v>
      </c>
      <c r="M6" s="22">
        <v>600</v>
      </c>
      <c r="O6" s="15"/>
      <c r="P6" s="47"/>
      <c r="Q6" s="47"/>
      <c r="R6" s="48"/>
      <c r="S6" s="48"/>
    </row>
    <row r="7" spans="1:19">
      <c r="A7" s="45" t="s">
        <v>4</v>
      </c>
      <c r="B7" s="43" t="s">
        <v>196</v>
      </c>
      <c r="C7" s="17" t="s">
        <v>15</v>
      </c>
      <c r="D7" s="16" t="s">
        <v>16</v>
      </c>
      <c r="E7" s="18">
        <v>21.031435864247801</v>
      </c>
      <c r="F7" s="18">
        <v>105.814703707863</v>
      </c>
      <c r="G7" s="16" t="s">
        <v>4</v>
      </c>
      <c r="H7" s="19">
        <v>95000000</v>
      </c>
      <c r="I7" s="20">
        <f t="shared" si="0"/>
        <v>950000000</v>
      </c>
      <c r="J7" s="19">
        <v>300000000</v>
      </c>
      <c r="K7" s="44">
        <v>100</v>
      </c>
      <c r="L7" s="21">
        <v>500</v>
      </c>
      <c r="M7" s="22">
        <v>1000</v>
      </c>
      <c r="O7" s="15"/>
      <c r="P7" s="47"/>
      <c r="Q7" s="47"/>
      <c r="R7" s="48"/>
      <c r="S7" s="48"/>
    </row>
    <row r="8" spans="1:19">
      <c r="A8" s="45" t="s">
        <v>4</v>
      </c>
      <c r="B8" s="43" t="s">
        <v>196</v>
      </c>
      <c r="C8" s="17" t="s">
        <v>17</v>
      </c>
      <c r="D8" s="16" t="s">
        <v>18</v>
      </c>
      <c r="E8" s="18">
        <v>21.032436046231599</v>
      </c>
      <c r="F8" s="18">
        <v>105.812491167384</v>
      </c>
      <c r="G8" s="16" t="s">
        <v>4</v>
      </c>
      <c r="H8" s="19">
        <v>95000000</v>
      </c>
      <c r="I8" s="20">
        <f t="shared" si="0"/>
        <v>950000000</v>
      </c>
      <c r="J8" s="19">
        <v>300000000</v>
      </c>
      <c r="K8" s="44">
        <v>100</v>
      </c>
      <c r="L8" s="21">
        <v>500</v>
      </c>
      <c r="M8" s="22">
        <v>1100</v>
      </c>
      <c r="O8" s="15"/>
      <c r="P8" s="47"/>
      <c r="Q8" s="47"/>
      <c r="R8" s="48"/>
      <c r="S8" s="48"/>
    </row>
    <row r="9" spans="1:19">
      <c r="A9" s="45" t="s">
        <v>4</v>
      </c>
      <c r="B9" s="43" t="s">
        <v>196</v>
      </c>
      <c r="C9" s="23" t="s">
        <v>19</v>
      </c>
      <c r="D9" s="24" t="s">
        <v>20</v>
      </c>
      <c r="E9" s="25">
        <v>21.0392996253807</v>
      </c>
      <c r="F9" s="25">
        <v>105.828983750191</v>
      </c>
      <c r="G9" s="24" t="s">
        <v>4</v>
      </c>
      <c r="H9" s="26">
        <v>54000000</v>
      </c>
      <c r="I9" s="27">
        <f t="shared" si="0"/>
        <v>351000000</v>
      </c>
      <c r="J9" s="26">
        <v>200000000</v>
      </c>
      <c r="K9" s="44">
        <v>65</v>
      </c>
      <c r="L9" s="28">
        <v>350</v>
      </c>
      <c r="M9" s="29">
        <v>650</v>
      </c>
      <c r="O9" s="15"/>
      <c r="P9" s="47"/>
      <c r="Q9" s="47"/>
      <c r="R9" s="48"/>
      <c r="S9" s="48"/>
    </row>
    <row r="10" spans="1:19">
      <c r="A10" s="45" t="s">
        <v>21</v>
      </c>
      <c r="B10" s="43" t="s">
        <v>195</v>
      </c>
      <c r="C10" s="7" t="s">
        <v>22</v>
      </c>
      <c r="D10" s="10" t="s">
        <v>23</v>
      </c>
      <c r="E10" s="9">
        <v>21.026583082945798</v>
      </c>
      <c r="F10" s="9">
        <v>105.85906609436999</v>
      </c>
      <c r="G10" s="10" t="s">
        <v>21</v>
      </c>
      <c r="H10" s="11">
        <v>64000000</v>
      </c>
      <c r="I10" s="12">
        <f t="shared" si="0"/>
        <v>384000000</v>
      </c>
      <c r="J10" s="11">
        <v>220000000</v>
      </c>
      <c r="K10" s="44">
        <v>60</v>
      </c>
      <c r="L10" s="13">
        <v>300</v>
      </c>
      <c r="M10" s="14">
        <v>600</v>
      </c>
      <c r="O10" s="15"/>
      <c r="P10" s="47"/>
      <c r="Q10" s="47"/>
      <c r="R10" s="48"/>
      <c r="S10" s="48"/>
    </row>
    <row r="11" spans="1:19">
      <c r="A11" s="45" t="s">
        <v>21</v>
      </c>
      <c r="B11" s="43" t="s">
        <v>195</v>
      </c>
      <c r="C11" s="17" t="s">
        <v>24</v>
      </c>
      <c r="D11" s="16" t="s">
        <v>25</v>
      </c>
      <c r="E11" s="18">
        <v>21.026175313704101</v>
      </c>
      <c r="F11" s="18">
        <v>105.847323967384</v>
      </c>
      <c r="G11" s="16" t="s">
        <v>21</v>
      </c>
      <c r="H11" s="19">
        <v>158000000</v>
      </c>
      <c r="I11" s="20">
        <f t="shared" si="0"/>
        <v>1106000000</v>
      </c>
      <c r="J11" s="19">
        <v>250000000</v>
      </c>
      <c r="K11" s="44">
        <v>70</v>
      </c>
      <c r="L11" s="21">
        <v>400</v>
      </c>
      <c r="M11" s="22">
        <v>800</v>
      </c>
      <c r="O11" s="15"/>
      <c r="P11" s="47"/>
      <c r="Q11" s="47"/>
      <c r="R11" s="48"/>
      <c r="S11" s="48"/>
    </row>
    <row r="12" spans="1:19">
      <c r="A12" s="45" t="s">
        <v>21</v>
      </c>
      <c r="B12" s="43" t="s">
        <v>195</v>
      </c>
      <c r="C12" s="17" t="s">
        <v>26</v>
      </c>
      <c r="D12" s="16" t="s">
        <v>27</v>
      </c>
      <c r="E12" s="18">
        <v>21.0273403780546</v>
      </c>
      <c r="F12" s="18">
        <v>105.85964293169199</v>
      </c>
      <c r="G12" s="16" t="s">
        <v>21</v>
      </c>
      <c r="H12" s="19">
        <v>44000000</v>
      </c>
      <c r="I12" s="20">
        <f t="shared" si="0"/>
        <v>220000000</v>
      </c>
      <c r="J12" s="19">
        <v>180000000</v>
      </c>
      <c r="K12" s="44">
        <v>50</v>
      </c>
      <c r="L12" s="21">
        <v>300</v>
      </c>
      <c r="M12" s="22">
        <v>500</v>
      </c>
      <c r="O12" s="15"/>
      <c r="P12" s="47"/>
      <c r="Q12" s="47"/>
      <c r="R12" s="48"/>
      <c r="S12" s="48"/>
    </row>
    <row r="13" spans="1:19">
      <c r="A13" s="45" t="s">
        <v>21</v>
      </c>
      <c r="B13" s="43" t="s">
        <v>195</v>
      </c>
      <c r="C13" s="17" t="s">
        <v>28</v>
      </c>
      <c r="D13" s="16" t="s">
        <v>29</v>
      </c>
      <c r="E13" s="18">
        <v>21.0214173062508</v>
      </c>
      <c r="F13" s="18">
        <v>105.86159799436901</v>
      </c>
      <c r="G13" s="16" t="s">
        <v>21</v>
      </c>
      <c r="H13" s="19">
        <v>44000000</v>
      </c>
      <c r="I13" s="20">
        <f t="shared" si="0"/>
        <v>220000000</v>
      </c>
      <c r="J13" s="19">
        <v>180000000</v>
      </c>
      <c r="K13" s="44">
        <v>50</v>
      </c>
      <c r="L13" s="21">
        <v>300</v>
      </c>
      <c r="M13" s="22">
        <v>450</v>
      </c>
      <c r="O13" s="15"/>
      <c r="P13" s="47"/>
      <c r="Q13" s="47"/>
      <c r="R13" s="48"/>
      <c r="S13" s="48"/>
    </row>
    <row r="14" spans="1:19">
      <c r="A14" s="45" t="s">
        <v>21</v>
      </c>
      <c r="B14" s="43" t="s">
        <v>195</v>
      </c>
      <c r="C14" s="17" t="s">
        <v>30</v>
      </c>
      <c r="D14" s="16" t="s">
        <v>31</v>
      </c>
      <c r="E14" s="18">
        <v>21.024966999031601</v>
      </c>
      <c r="F14" s="18">
        <v>105.85330605204101</v>
      </c>
      <c r="G14" s="16" t="s">
        <v>21</v>
      </c>
      <c r="H14" s="19">
        <v>210000000</v>
      </c>
      <c r="I14" s="20">
        <f t="shared" si="0"/>
        <v>1890000000</v>
      </c>
      <c r="J14" s="19">
        <v>280000000</v>
      </c>
      <c r="K14" s="44">
        <v>90</v>
      </c>
      <c r="L14" s="21">
        <v>500</v>
      </c>
      <c r="M14" s="22">
        <v>1000</v>
      </c>
      <c r="O14" s="15"/>
      <c r="P14" s="47"/>
      <c r="Q14" s="47"/>
      <c r="R14" s="48"/>
      <c r="S14" s="48"/>
    </row>
    <row r="15" spans="1:19">
      <c r="A15" s="45" t="s">
        <v>21</v>
      </c>
      <c r="B15" s="43" t="s">
        <v>195</v>
      </c>
      <c r="C15" s="17" t="s">
        <v>32</v>
      </c>
      <c r="D15" s="16" t="s">
        <v>33</v>
      </c>
      <c r="E15" s="18">
        <v>21.031712291026</v>
      </c>
      <c r="F15" s="18">
        <v>105.846469079027</v>
      </c>
      <c r="G15" s="16" t="s">
        <v>21</v>
      </c>
      <c r="H15" s="19">
        <v>128000000</v>
      </c>
      <c r="I15" s="20">
        <f t="shared" si="0"/>
        <v>1280000000</v>
      </c>
      <c r="J15" s="19">
        <v>300000000</v>
      </c>
      <c r="K15" s="44">
        <v>100</v>
      </c>
      <c r="L15" s="21">
        <v>500</v>
      </c>
      <c r="M15" s="22">
        <v>1100</v>
      </c>
      <c r="O15" s="15"/>
      <c r="P15" s="47"/>
      <c r="Q15" s="47"/>
      <c r="R15" s="48"/>
      <c r="S15" s="48"/>
    </row>
    <row r="16" spans="1:19">
      <c r="A16" s="45" t="s">
        <v>21</v>
      </c>
      <c r="B16" s="43" t="s">
        <v>195</v>
      </c>
      <c r="C16" s="17" t="s">
        <v>34</v>
      </c>
      <c r="D16" s="16" t="s">
        <v>35</v>
      </c>
      <c r="E16" s="18">
        <v>21.0246041577598</v>
      </c>
      <c r="F16" s="18">
        <v>105.85154329437</v>
      </c>
      <c r="G16" s="16" t="s">
        <v>21</v>
      </c>
      <c r="H16" s="19">
        <v>210000000</v>
      </c>
      <c r="I16" s="20">
        <f t="shared" si="0"/>
        <v>1890000000</v>
      </c>
      <c r="J16" s="19">
        <v>260000000</v>
      </c>
      <c r="K16" s="44">
        <v>90</v>
      </c>
      <c r="L16" s="21">
        <v>400</v>
      </c>
      <c r="M16" s="22">
        <v>900</v>
      </c>
      <c r="O16" s="15"/>
      <c r="P16" s="47"/>
      <c r="Q16" s="47"/>
      <c r="R16" s="48"/>
      <c r="S16" s="48"/>
    </row>
    <row r="17" spans="1:19">
      <c r="A17" s="45" t="s">
        <v>21</v>
      </c>
      <c r="B17" s="43" t="s">
        <v>195</v>
      </c>
      <c r="C17" s="23" t="s">
        <v>36</v>
      </c>
      <c r="D17" s="24" t="s">
        <v>37</v>
      </c>
      <c r="E17" s="25">
        <v>21.0320277496415</v>
      </c>
      <c r="F17" s="25">
        <v>105.85157569437</v>
      </c>
      <c r="G17" s="24" t="s">
        <v>21</v>
      </c>
      <c r="H17" s="26">
        <v>245000000</v>
      </c>
      <c r="I17" s="27">
        <f t="shared" si="0"/>
        <v>1225000000</v>
      </c>
      <c r="J17" s="26">
        <v>200000000</v>
      </c>
      <c r="K17" s="44">
        <v>50</v>
      </c>
      <c r="L17" s="28">
        <v>300</v>
      </c>
      <c r="M17" s="29">
        <v>700</v>
      </c>
      <c r="O17" s="15"/>
      <c r="P17" s="47"/>
      <c r="Q17" s="47"/>
      <c r="R17" s="48"/>
      <c r="S17" s="48"/>
    </row>
    <row r="18" spans="1:19">
      <c r="A18" s="45" t="s">
        <v>38</v>
      </c>
      <c r="B18" s="43" t="s">
        <v>197</v>
      </c>
      <c r="C18" s="7" t="s">
        <v>39</v>
      </c>
      <c r="D18" s="10" t="s">
        <v>40</v>
      </c>
      <c r="E18" s="9">
        <v>21.010042615067</v>
      </c>
      <c r="F18" s="9">
        <v>105.823861501479</v>
      </c>
      <c r="G18" s="10" t="s">
        <v>38</v>
      </c>
      <c r="H18" s="11">
        <v>62000000</v>
      </c>
      <c r="I18" s="12">
        <f t="shared" si="0"/>
        <v>558000000</v>
      </c>
      <c r="J18" s="11">
        <v>240000000</v>
      </c>
      <c r="K18" s="44">
        <v>90</v>
      </c>
      <c r="L18" s="13">
        <v>500</v>
      </c>
      <c r="M18" s="14">
        <v>900</v>
      </c>
      <c r="O18" s="15"/>
      <c r="P18" s="47"/>
      <c r="Q18" s="47"/>
      <c r="R18" s="48"/>
      <c r="S18" s="48"/>
    </row>
    <row r="19" spans="1:19">
      <c r="A19" s="45" t="s">
        <v>38</v>
      </c>
      <c r="B19" s="43" t="s">
        <v>197</v>
      </c>
      <c r="C19" s="17" t="s">
        <v>41</v>
      </c>
      <c r="D19" s="16" t="s">
        <v>42</v>
      </c>
      <c r="E19" s="18">
        <v>21.0190785404453</v>
      </c>
      <c r="F19" s="18">
        <v>105.824301509712</v>
      </c>
      <c r="G19" s="16" t="s">
        <v>38</v>
      </c>
      <c r="H19" s="19">
        <v>58000000</v>
      </c>
      <c r="I19" s="20">
        <f t="shared" si="0"/>
        <v>435000000</v>
      </c>
      <c r="J19" s="19">
        <v>200000000</v>
      </c>
      <c r="K19" s="44">
        <v>75</v>
      </c>
      <c r="L19" s="21">
        <v>400</v>
      </c>
      <c r="M19" s="22">
        <v>700</v>
      </c>
      <c r="O19" s="15"/>
      <c r="P19" s="47"/>
      <c r="Q19" s="47"/>
      <c r="R19" s="48"/>
      <c r="S19" s="48"/>
    </row>
    <row r="20" spans="1:19">
      <c r="A20" s="45" t="s">
        <v>38</v>
      </c>
      <c r="B20" s="43" t="s">
        <v>197</v>
      </c>
      <c r="C20" s="17" t="s">
        <v>43</v>
      </c>
      <c r="D20" s="16" t="s">
        <v>44</v>
      </c>
      <c r="E20" s="18">
        <v>21.002008770494498</v>
      </c>
      <c r="F20" s="18">
        <v>105.823001023204</v>
      </c>
      <c r="G20" s="16" t="s">
        <v>38</v>
      </c>
      <c r="H20" s="19">
        <v>54000000</v>
      </c>
      <c r="I20" s="20">
        <f t="shared" si="0"/>
        <v>378000000</v>
      </c>
      <c r="J20" s="19">
        <v>180000000</v>
      </c>
      <c r="K20" s="44">
        <v>70</v>
      </c>
      <c r="L20" s="21">
        <v>350</v>
      </c>
      <c r="M20" s="22">
        <v>600</v>
      </c>
      <c r="O20" s="15"/>
      <c r="P20" s="47"/>
      <c r="Q20" s="47"/>
      <c r="R20" s="48"/>
      <c r="S20" s="48"/>
    </row>
    <row r="21" spans="1:19">
      <c r="A21" s="45" t="s">
        <v>38</v>
      </c>
      <c r="B21" s="43" t="s">
        <v>197</v>
      </c>
      <c r="C21" s="17" t="s">
        <v>45</v>
      </c>
      <c r="D21" s="16" t="s">
        <v>46</v>
      </c>
      <c r="E21" s="18">
        <v>21.0102051205881</v>
      </c>
      <c r="F21" s="18">
        <v>105.83816679066901</v>
      </c>
      <c r="G21" s="16" t="s">
        <v>38</v>
      </c>
      <c r="H21" s="19">
        <v>90000000</v>
      </c>
      <c r="I21" s="20">
        <f t="shared" si="0"/>
        <v>540000000</v>
      </c>
      <c r="J21" s="19">
        <v>180000000</v>
      </c>
      <c r="K21" s="44">
        <v>60</v>
      </c>
      <c r="L21" s="21">
        <v>300</v>
      </c>
      <c r="M21" s="22">
        <v>500</v>
      </c>
      <c r="O21" s="15"/>
      <c r="P21" s="47"/>
      <c r="Q21" s="47"/>
      <c r="R21" s="48"/>
      <c r="S21" s="48"/>
    </row>
    <row r="22" spans="1:19">
      <c r="A22" s="45" t="s">
        <v>38</v>
      </c>
      <c r="B22" s="43" t="s">
        <v>197</v>
      </c>
      <c r="C22" s="17" t="s">
        <v>47</v>
      </c>
      <c r="D22" s="16" t="s">
        <v>48</v>
      </c>
      <c r="E22" s="18">
        <v>21.0126971036958</v>
      </c>
      <c r="F22" s="18">
        <v>105.82398278087599</v>
      </c>
      <c r="G22" s="16" t="s">
        <v>38</v>
      </c>
      <c r="H22" s="19">
        <v>47000000</v>
      </c>
      <c r="I22" s="20">
        <f t="shared" si="0"/>
        <v>399500000</v>
      </c>
      <c r="J22" s="19">
        <v>220000000</v>
      </c>
      <c r="K22" s="44">
        <v>85</v>
      </c>
      <c r="L22" s="21">
        <v>400</v>
      </c>
      <c r="M22" s="22">
        <v>800</v>
      </c>
      <c r="O22" s="15"/>
      <c r="P22" s="47"/>
      <c r="Q22" s="47"/>
      <c r="R22" s="48"/>
      <c r="S22" s="48"/>
    </row>
    <row r="23" spans="1:19">
      <c r="A23" s="45" t="s">
        <v>38</v>
      </c>
      <c r="B23" s="43" t="s">
        <v>197</v>
      </c>
      <c r="C23" s="17" t="s">
        <v>49</v>
      </c>
      <c r="D23" s="16" t="s">
        <v>50</v>
      </c>
      <c r="E23" s="18">
        <v>21.008101157338601</v>
      </c>
      <c r="F23" s="18">
        <v>105.82771805204</v>
      </c>
      <c r="G23" s="16" t="s">
        <v>38</v>
      </c>
      <c r="H23" s="19">
        <v>81000000</v>
      </c>
      <c r="I23" s="20">
        <f t="shared" si="0"/>
        <v>567000000</v>
      </c>
      <c r="J23" s="19">
        <v>240000000</v>
      </c>
      <c r="K23" s="44">
        <v>70</v>
      </c>
      <c r="L23" s="21">
        <v>400</v>
      </c>
      <c r="M23" s="22">
        <v>850</v>
      </c>
      <c r="O23" s="15"/>
      <c r="P23" s="47"/>
      <c r="Q23" s="47"/>
      <c r="R23" s="48"/>
      <c r="S23" s="48"/>
    </row>
    <row r="24" spans="1:19">
      <c r="A24" s="45" t="s">
        <v>38</v>
      </c>
      <c r="B24" s="43" t="s">
        <v>197</v>
      </c>
      <c r="C24" s="17" t="s">
        <v>51</v>
      </c>
      <c r="D24" s="16" t="s">
        <v>52</v>
      </c>
      <c r="E24" s="18">
        <v>21.003772148351398</v>
      </c>
      <c r="F24" s="18">
        <v>105.830583789792</v>
      </c>
      <c r="G24" s="16" t="s">
        <v>38</v>
      </c>
      <c r="H24" s="19">
        <v>73000000</v>
      </c>
      <c r="I24" s="20">
        <f t="shared" si="0"/>
        <v>657000000</v>
      </c>
      <c r="J24" s="19">
        <v>220000000</v>
      </c>
      <c r="K24" s="44">
        <v>90</v>
      </c>
      <c r="L24" s="21">
        <v>500</v>
      </c>
      <c r="M24" s="22">
        <v>1000</v>
      </c>
      <c r="O24" s="15"/>
      <c r="P24" s="47"/>
      <c r="Q24" s="47"/>
      <c r="R24" s="48"/>
      <c r="S24" s="48"/>
    </row>
    <row r="25" spans="1:19">
      <c r="A25" s="45" t="s">
        <v>38</v>
      </c>
      <c r="B25" s="43" t="s">
        <v>197</v>
      </c>
      <c r="C25" s="23" t="s">
        <v>53</v>
      </c>
      <c r="D25" s="24" t="s">
        <v>54</v>
      </c>
      <c r="E25" s="25">
        <v>21.019670404372398</v>
      </c>
      <c r="F25" s="25">
        <v>105.827735107862</v>
      </c>
      <c r="G25" s="24" t="s">
        <v>38</v>
      </c>
      <c r="H25" s="26">
        <v>76000000</v>
      </c>
      <c r="I25" s="27">
        <f t="shared" si="0"/>
        <v>570000000</v>
      </c>
      <c r="J25" s="26">
        <v>200000000</v>
      </c>
      <c r="K25" s="44">
        <v>75</v>
      </c>
      <c r="L25" s="28">
        <v>400</v>
      </c>
      <c r="M25" s="29">
        <v>750</v>
      </c>
      <c r="O25" s="15"/>
      <c r="P25" s="47"/>
      <c r="Q25" s="47"/>
      <c r="R25" s="48"/>
      <c r="S25" s="48"/>
    </row>
    <row r="26" spans="1:19">
      <c r="A26" s="45" t="s">
        <v>55</v>
      </c>
      <c r="B26" s="43" t="s">
        <v>198</v>
      </c>
      <c r="C26" s="7" t="s">
        <v>56</v>
      </c>
      <c r="D26" s="10" t="s">
        <v>57</v>
      </c>
      <c r="E26" s="9">
        <v>21.011149798923899</v>
      </c>
      <c r="F26" s="9">
        <v>105.849558236698</v>
      </c>
      <c r="G26" s="10" t="s">
        <v>55</v>
      </c>
      <c r="H26" s="11">
        <v>120000000</v>
      </c>
      <c r="I26" s="12">
        <f t="shared" si="0"/>
        <v>1200000000</v>
      </c>
      <c r="J26" s="11">
        <v>300000000</v>
      </c>
      <c r="K26" s="44">
        <v>100</v>
      </c>
      <c r="L26" s="13">
        <v>500</v>
      </c>
      <c r="M26" s="14">
        <v>1100</v>
      </c>
      <c r="O26" s="15"/>
      <c r="P26" s="47"/>
      <c r="Q26" s="47"/>
      <c r="R26" s="48"/>
      <c r="S26" s="48"/>
    </row>
    <row r="27" spans="1:19">
      <c r="A27" s="45" t="s">
        <v>55</v>
      </c>
      <c r="B27" s="43" t="s">
        <v>198</v>
      </c>
      <c r="C27" s="17" t="s">
        <v>58</v>
      </c>
      <c r="D27" s="16" t="s">
        <v>59</v>
      </c>
      <c r="E27" s="18">
        <v>20.993476930765802</v>
      </c>
      <c r="F27" s="18">
        <v>105.86855805204</v>
      </c>
      <c r="G27" s="16" t="s">
        <v>55</v>
      </c>
      <c r="H27" s="19">
        <v>60000000</v>
      </c>
      <c r="I27" s="20">
        <f t="shared" si="0"/>
        <v>600000000</v>
      </c>
      <c r="J27" s="19">
        <v>350000000</v>
      </c>
      <c r="K27" s="44">
        <v>100</v>
      </c>
      <c r="L27" s="21">
        <v>1000</v>
      </c>
      <c r="M27" s="22">
        <v>1200</v>
      </c>
      <c r="O27" s="15"/>
      <c r="P27" s="47"/>
      <c r="Q27" s="47"/>
      <c r="R27" s="48"/>
      <c r="S27" s="48"/>
    </row>
    <row r="28" spans="1:19">
      <c r="A28" s="45" t="s">
        <v>55</v>
      </c>
      <c r="B28" s="43" t="s">
        <v>198</v>
      </c>
      <c r="C28" s="17" t="s">
        <v>60</v>
      </c>
      <c r="D28" s="16" t="s">
        <v>61</v>
      </c>
      <c r="E28" s="18">
        <v>21.017398566961202</v>
      </c>
      <c r="F28" s="18">
        <v>105.84572676738399</v>
      </c>
      <c r="G28" s="16" t="s">
        <v>55</v>
      </c>
      <c r="H28" s="19">
        <v>120000000</v>
      </c>
      <c r="I28" s="20">
        <f t="shared" si="0"/>
        <v>1140000000</v>
      </c>
      <c r="J28" s="19">
        <v>250000000</v>
      </c>
      <c r="K28" s="44">
        <v>95</v>
      </c>
      <c r="L28" s="21">
        <v>500</v>
      </c>
      <c r="M28" s="22">
        <v>900</v>
      </c>
      <c r="O28" s="15"/>
      <c r="P28" s="47"/>
      <c r="Q28" s="47"/>
      <c r="R28" s="48"/>
      <c r="S28" s="48"/>
    </row>
    <row r="29" spans="1:19">
      <c r="A29" s="45" t="s">
        <v>55</v>
      </c>
      <c r="B29" s="43" t="s">
        <v>198</v>
      </c>
      <c r="C29" s="17" t="s">
        <v>62</v>
      </c>
      <c r="D29" s="16" t="s">
        <v>63</v>
      </c>
      <c r="E29" s="18">
        <v>21.002093405986599</v>
      </c>
      <c r="F29" s="18">
        <v>105.840450180876</v>
      </c>
      <c r="G29" s="16" t="s">
        <v>55</v>
      </c>
      <c r="H29" s="19">
        <v>28000000</v>
      </c>
      <c r="I29" s="20">
        <f t="shared" si="0"/>
        <v>196000000</v>
      </c>
      <c r="J29" s="19">
        <v>220000000</v>
      </c>
      <c r="K29" s="44">
        <v>70</v>
      </c>
      <c r="L29" s="21">
        <v>400</v>
      </c>
      <c r="M29" s="22">
        <v>700</v>
      </c>
      <c r="O29" s="15"/>
      <c r="P29" s="47"/>
      <c r="Q29" s="47"/>
      <c r="R29" s="48"/>
      <c r="S29" s="48"/>
    </row>
    <row r="30" spans="1:19">
      <c r="A30" s="45" t="s">
        <v>55</v>
      </c>
      <c r="B30" s="43" t="s">
        <v>198</v>
      </c>
      <c r="C30" s="17" t="s">
        <v>64</v>
      </c>
      <c r="D30" s="16" t="s">
        <v>65</v>
      </c>
      <c r="E30" s="18">
        <v>20.999876808070798</v>
      </c>
      <c r="F30" s="18">
        <v>105.869868065533</v>
      </c>
      <c r="G30" s="16" t="s">
        <v>55</v>
      </c>
      <c r="H30" s="19">
        <v>36000000</v>
      </c>
      <c r="I30" s="20">
        <f t="shared" si="0"/>
        <v>324000000</v>
      </c>
      <c r="J30" s="19">
        <v>300000000</v>
      </c>
      <c r="K30" s="44">
        <v>90</v>
      </c>
      <c r="L30" s="21">
        <v>800</v>
      </c>
      <c r="M30" s="22">
        <v>1000</v>
      </c>
      <c r="O30" s="15"/>
      <c r="P30" s="47"/>
      <c r="Q30" s="47"/>
      <c r="R30" s="48"/>
      <c r="S30" s="48"/>
    </row>
    <row r="31" spans="1:19">
      <c r="A31" s="45" t="s">
        <v>55</v>
      </c>
      <c r="B31" s="43" t="s">
        <v>198</v>
      </c>
      <c r="C31" s="17" t="s">
        <v>66</v>
      </c>
      <c r="D31" s="16" t="s">
        <v>67</v>
      </c>
      <c r="E31" s="18">
        <v>21.003736168406501</v>
      </c>
      <c r="F31" s="18">
        <v>105.85937499436901</v>
      </c>
      <c r="G31" s="16" t="s">
        <v>55</v>
      </c>
      <c r="H31" s="19">
        <v>48000000</v>
      </c>
      <c r="I31" s="20">
        <f t="shared" si="0"/>
        <v>336000000</v>
      </c>
      <c r="J31" s="19">
        <v>220000000</v>
      </c>
      <c r="K31" s="44">
        <v>70</v>
      </c>
      <c r="L31" s="21">
        <v>400</v>
      </c>
      <c r="M31" s="22">
        <v>700</v>
      </c>
      <c r="O31" s="15"/>
      <c r="P31" s="47"/>
      <c r="Q31" s="47"/>
      <c r="R31" s="48"/>
      <c r="S31" s="48"/>
    </row>
    <row r="32" spans="1:19">
      <c r="A32" s="45" t="s">
        <v>55</v>
      </c>
      <c r="B32" s="43" t="s">
        <v>198</v>
      </c>
      <c r="C32" s="17" t="s">
        <v>68</v>
      </c>
      <c r="D32" s="16" t="s">
        <v>69</v>
      </c>
      <c r="E32" s="18">
        <v>21.002778873235201</v>
      </c>
      <c r="F32" s="18">
        <v>105.86173120786199</v>
      </c>
      <c r="G32" s="16" t="s">
        <v>55</v>
      </c>
      <c r="H32" s="19">
        <v>48000000</v>
      </c>
      <c r="I32" s="20">
        <f t="shared" si="0"/>
        <v>312000000</v>
      </c>
      <c r="J32" s="19">
        <v>200000000</v>
      </c>
      <c r="K32" s="44">
        <v>65</v>
      </c>
      <c r="L32" s="21">
        <v>350</v>
      </c>
      <c r="M32" s="22">
        <v>600</v>
      </c>
      <c r="O32" s="15"/>
      <c r="P32" s="47"/>
      <c r="Q32" s="47"/>
      <c r="R32" s="48"/>
      <c r="S32" s="48"/>
    </row>
    <row r="33" spans="1:19">
      <c r="A33" s="45" t="s">
        <v>55</v>
      </c>
      <c r="B33" s="43" t="s">
        <v>198</v>
      </c>
      <c r="C33" s="23" t="s">
        <v>70</v>
      </c>
      <c r="D33" s="24" t="s">
        <v>71</v>
      </c>
      <c r="E33" s="25">
        <v>20.996450710176301</v>
      </c>
      <c r="F33" s="25">
        <v>105.850167336697</v>
      </c>
      <c r="G33" s="24" t="s">
        <v>55</v>
      </c>
      <c r="H33" s="26">
        <v>63000000</v>
      </c>
      <c r="I33" s="27">
        <f t="shared" si="0"/>
        <v>504000000</v>
      </c>
      <c r="J33" s="26">
        <v>250000000</v>
      </c>
      <c r="K33" s="44">
        <v>80</v>
      </c>
      <c r="L33" s="28">
        <v>500</v>
      </c>
      <c r="M33" s="29">
        <v>900</v>
      </c>
      <c r="O33" s="15"/>
      <c r="P33" s="47"/>
      <c r="Q33" s="47"/>
      <c r="R33" s="48"/>
      <c r="S33" s="48"/>
    </row>
    <row r="34" spans="1:19">
      <c r="A34" s="45" t="s">
        <v>72</v>
      </c>
      <c r="B34" s="43" t="s">
        <v>199</v>
      </c>
      <c r="C34" s="7" t="s">
        <v>73</v>
      </c>
      <c r="D34" s="10" t="s">
        <v>74</v>
      </c>
      <c r="E34" s="9">
        <v>20.967999474924</v>
      </c>
      <c r="F34" s="9">
        <v>105.826531384399</v>
      </c>
      <c r="G34" s="10" t="s">
        <v>72</v>
      </c>
      <c r="H34" s="11">
        <v>24000000</v>
      </c>
      <c r="I34" s="12">
        <f t="shared" si="0"/>
        <v>228000000</v>
      </c>
      <c r="J34" s="11">
        <v>300000000</v>
      </c>
      <c r="K34" s="44">
        <v>95</v>
      </c>
      <c r="L34" s="13">
        <v>1500</v>
      </c>
      <c r="M34" s="14">
        <v>1000</v>
      </c>
      <c r="O34" s="15"/>
      <c r="P34" s="47"/>
      <c r="Q34" s="47"/>
      <c r="R34" s="48"/>
      <c r="S34" s="48"/>
    </row>
    <row r="35" spans="1:19">
      <c r="A35" s="45" t="s">
        <v>72</v>
      </c>
      <c r="B35" s="43" t="s">
        <v>199</v>
      </c>
      <c r="C35" s="17" t="s">
        <v>75</v>
      </c>
      <c r="D35" s="30" t="s">
        <v>76</v>
      </c>
      <c r="E35" s="18">
        <v>20.9659561450827</v>
      </c>
      <c r="F35" s="18">
        <v>105.8424142304</v>
      </c>
      <c r="G35" s="16" t="s">
        <v>72</v>
      </c>
      <c r="H35" s="19">
        <v>22000000</v>
      </c>
      <c r="I35" s="20">
        <f t="shared" si="0"/>
        <v>220000000</v>
      </c>
      <c r="J35" s="19">
        <v>320000000</v>
      </c>
      <c r="K35" s="44">
        <v>100</v>
      </c>
      <c r="L35" s="21">
        <v>1500</v>
      </c>
      <c r="M35" s="22">
        <v>1100</v>
      </c>
      <c r="O35" s="15"/>
      <c r="P35" s="47"/>
      <c r="Q35" s="47"/>
      <c r="R35" s="48"/>
      <c r="S35" s="48"/>
    </row>
    <row r="36" spans="1:19">
      <c r="A36" s="45" t="s">
        <v>72</v>
      </c>
      <c r="B36" s="43" t="s">
        <v>199</v>
      </c>
      <c r="C36" s="17" t="s">
        <v>77</v>
      </c>
      <c r="D36" s="16" t="s">
        <v>78</v>
      </c>
      <c r="E36" s="18">
        <v>20.983490685290899</v>
      </c>
      <c r="F36" s="18">
        <v>105.85757955389001</v>
      </c>
      <c r="G36" s="16" t="s">
        <v>72</v>
      </c>
      <c r="H36" s="19">
        <v>20000000</v>
      </c>
      <c r="I36" s="20">
        <f t="shared" si="0"/>
        <v>170000000</v>
      </c>
      <c r="J36" s="19">
        <v>280000000</v>
      </c>
      <c r="K36" s="44">
        <v>85</v>
      </c>
      <c r="L36" s="21">
        <v>1200</v>
      </c>
      <c r="M36" s="22">
        <v>900</v>
      </c>
      <c r="O36" s="15"/>
      <c r="P36" s="47"/>
      <c r="Q36" s="47"/>
      <c r="R36" s="48"/>
      <c r="S36" s="48"/>
    </row>
    <row r="37" spans="1:19">
      <c r="A37" s="45" t="s">
        <v>72</v>
      </c>
      <c r="B37" s="43" t="s">
        <v>199</v>
      </c>
      <c r="C37" s="17" t="s">
        <v>79</v>
      </c>
      <c r="D37" s="16" t="s">
        <v>80</v>
      </c>
      <c r="E37" s="18">
        <v>20.964631327337202</v>
      </c>
      <c r="F37" s="18">
        <v>105.854585521353</v>
      </c>
      <c r="G37" s="16" t="s">
        <v>72</v>
      </c>
      <c r="H37" s="19">
        <v>40000000</v>
      </c>
      <c r="I37" s="20">
        <f t="shared" si="0"/>
        <v>400000000</v>
      </c>
      <c r="J37" s="19">
        <v>350000000</v>
      </c>
      <c r="K37" s="44">
        <v>100</v>
      </c>
      <c r="L37" s="21">
        <v>2000</v>
      </c>
      <c r="M37" s="22">
        <v>1200</v>
      </c>
      <c r="O37" s="15"/>
      <c r="P37" s="47"/>
      <c r="Q37" s="47"/>
      <c r="R37" s="48"/>
      <c r="S37" s="48"/>
    </row>
    <row r="38" spans="1:19">
      <c r="A38" s="45" t="s">
        <v>72</v>
      </c>
      <c r="B38" s="43" t="s">
        <v>199</v>
      </c>
      <c r="C38" s="17" t="s">
        <v>81</v>
      </c>
      <c r="D38" s="30" t="s">
        <v>82</v>
      </c>
      <c r="E38" s="18">
        <v>20.985340642957201</v>
      </c>
      <c r="F38" s="18">
        <v>105.84671735574</v>
      </c>
      <c r="G38" s="16" t="s">
        <v>72</v>
      </c>
      <c r="H38" s="19">
        <v>36000000</v>
      </c>
      <c r="I38" s="20">
        <f t="shared" si="0"/>
        <v>288000000</v>
      </c>
      <c r="J38" s="19">
        <v>300000000</v>
      </c>
      <c r="K38" s="44">
        <v>80</v>
      </c>
      <c r="L38" s="21">
        <v>1200</v>
      </c>
      <c r="M38" s="22">
        <v>950</v>
      </c>
      <c r="O38" s="15"/>
      <c r="P38" s="47"/>
      <c r="Q38" s="47"/>
      <c r="R38" s="48"/>
      <c r="S38" s="48"/>
    </row>
    <row r="39" spans="1:19">
      <c r="A39" s="45" t="s">
        <v>72</v>
      </c>
      <c r="B39" s="43" t="s">
        <v>199</v>
      </c>
      <c r="C39" s="17" t="s">
        <v>83</v>
      </c>
      <c r="D39" s="16" t="s">
        <v>84</v>
      </c>
      <c r="E39" s="18">
        <v>20.964569874461802</v>
      </c>
      <c r="F39" s="18">
        <v>105.82264205530301</v>
      </c>
      <c r="G39" s="16" t="s">
        <v>72</v>
      </c>
      <c r="H39" s="19">
        <v>30000000</v>
      </c>
      <c r="I39" s="20">
        <f t="shared" si="0"/>
        <v>225000000</v>
      </c>
      <c r="J39" s="19">
        <v>280000000</v>
      </c>
      <c r="K39" s="44">
        <v>75</v>
      </c>
      <c r="L39" s="21">
        <v>1000</v>
      </c>
      <c r="M39" s="22">
        <v>850</v>
      </c>
      <c r="O39" s="15"/>
      <c r="P39" s="47"/>
      <c r="Q39" s="47"/>
      <c r="R39" s="48"/>
      <c r="S39" s="48"/>
    </row>
    <row r="40" spans="1:19">
      <c r="A40" s="45" t="s">
        <v>72</v>
      </c>
      <c r="B40" s="43" t="s">
        <v>199</v>
      </c>
      <c r="C40" s="17" t="s">
        <v>85</v>
      </c>
      <c r="D40" s="16" t="s">
        <v>86</v>
      </c>
      <c r="E40" s="18">
        <v>20.974940992821299</v>
      </c>
      <c r="F40" s="18">
        <v>105.825652609285</v>
      </c>
      <c r="G40" s="16" t="s">
        <v>72</v>
      </c>
      <c r="H40" s="19">
        <v>24000000</v>
      </c>
      <c r="I40" s="20">
        <f t="shared" si="0"/>
        <v>168000000</v>
      </c>
      <c r="J40" s="19">
        <v>260000000</v>
      </c>
      <c r="K40" s="44">
        <v>70</v>
      </c>
      <c r="L40" s="21">
        <v>1000</v>
      </c>
      <c r="M40" s="22">
        <v>800</v>
      </c>
      <c r="O40" s="15"/>
      <c r="P40" s="47"/>
      <c r="Q40" s="47"/>
      <c r="R40" s="48"/>
      <c r="S40" s="48"/>
    </row>
    <row r="41" spans="1:19">
      <c r="A41" s="45" t="s">
        <v>72</v>
      </c>
      <c r="B41" s="43" t="s">
        <v>199</v>
      </c>
      <c r="C41" s="23" t="s">
        <v>87</v>
      </c>
      <c r="D41" s="31" t="s">
        <v>88</v>
      </c>
      <c r="E41" s="25">
        <v>20.981115701523098</v>
      </c>
      <c r="F41" s="25">
        <v>105.84198999969701</v>
      </c>
      <c r="G41" s="24" t="s">
        <v>72</v>
      </c>
      <c r="H41" s="26">
        <v>24000000</v>
      </c>
      <c r="I41" s="27">
        <f t="shared" si="0"/>
        <v>240000000</v>
      </c>
      <c r="J41" s="26">
        <v>320000000</v>
      </c>
      <c r="K41" s="44">
        <v>100</v>
      </c>
      <c r="L41" s="28">
        <v>1500</v>
      </c>
      <c r="M41" s="29">
        <v>1100</v>
      </c>
      <c r="O41" s="15"/>
      <c r="P41" s="47"/>
      <c r="Q41" s="47"/>
      <c r="R41" s="48"/>
      <c r="S41" s="48"/>
    </row>
    <row r="42" spans="1:19">
      <c r="A42" s="45" t="s">
        <v>89</v>
      </c>
      <c r="B42" s="43" t="s">
        <v>200</v>
      </c>
      <c r="C42" s="7" t="s">
        <v>90</v>
      </c>
      <c r="D42" s="10" t="s">
        <v>91</v>
      </c>
      <c r="E42" s="9">
        <v>21.003355168867099</v>
      </c>
      <c r="F42" s="9">
        <v>105.81541057902599</v>
      </c>
      <c r="G42" s="10" t="s">
        <v>89</v>
      </c>
      <c r="H42" s="11">
        <v>50000000</v>
      </c>
      <c r="I42" s="12">
        <f t="shared" si="0"/>
        <v>500000000</v>
      </c>
      <c r="J42" s="11">
        <v>350000000</v>
      </c>
      <c r="K42" s="44">
        <v>100</v>
      </c>
      <c r="L42" s="13">
        <v>2000</v>
      </c>
      <c r="M42" s="14">
        <v>1200</v>
      </c>
      <c r="O42" s="15"/>
      <c r="P42" s="47"/>
      <c r="Q42" s="47"/>
      <c r="R42" s="48"/>
      <c r="S42" s="48"/>
    </row>
    <row r="43" spans="1:19">
      <c r="A43" s="45" t="s">
        <v>89</v>
      </c>
      <c r="B43" s="43" t="s">
        <v>200</v>
      </c>
      <c r="C43" s="17" t="s">
        <v>92</v>
      </c>
      <c r="D43" s="16" t="s">
        <v>93</v>
      </c>
      <c r="E43" s="18">
        <v>20.998867450869799</v>
      </c>
      <c r="F43" s="18">
        <v>105.79647305746801</v>
      </c>
      <c r="G43" s="16" t="s">
        <v>89</v>
      </c>
      <c r="H43" s="19">
        <v>45000000</v>
      </c>
      <c r="I43" s="20">
        <f t="shared" si="0"/>
        <v>360000000</v>
      </c>
      <c r="J43" s="19">
        <v>260000000</v>
      </c>
      <c r="K43" s="44">
        <v>80</v>
      </c>
      <c r="L43" s="21">
        <v>1000</v>
      </c>
      <c r="M43" s="22">
        <v>800</v>
      </c>
      <c r="O43" s="15"/>
      <c r="P43" s="47"/>
      <c r="Q43" s="47"/>
      <c r="R43" s="48"/>
      <c r="S43" s="48"/>
    </row>
    <row r="44" spans="1:19">
      <c r="A44" s="45" t="s">
        <v>89</v>
      </c>
      <c r="B44" s="43" t="s">
        <v>200</v>
      </c>
      <c r="C44" s="17" t="s">
        <v>94</v>
      </c>
      <c r="D44" s="30" t="s">
        <v>95</v>
      </c>
      <c r="E44" s="18">
        <v>20.9871406789402</v>
      </c>
      <c r="F44" s="18">
        <v>105.796355008673</v>
      </c>
      <c r="G44" s="16" t="s">
        <v>89</v>
      </c>
      <c r="H44" s="19">
        <v>41000000</v>
      </c>
      <c r="I44" s="20">
        <f t="shared" si="0"/>
        <v>287000000</v>
      </c>
      <c r="J44" s="19">
        <v>250000000</v>
      </c>
      <c r="K44" s="44">
        <v>70</v>
      </c>
      <c r="L44" s="21">
        <v>1000</v>
      </c>
      <c r="M44" s="22">
        <v>750</v>
      </c>
      <c r="O44" s="15"/>
      <c r="P44" s="47"/>
      <c r="Q44" s="47"/>
      <c r="R44" s="48"/>
      <c r="S44" s="48"/>
    </row>
    <row r="45" spans="1:19">
      <c r="A45" s="45" t="s">
        <v>89</v>
      </c>
      <c r="B45" s="43" t="s">
        <v>200</v>
      </c>
      <c r="C45" s="17" t="s">
        <v>96</v>
      </c>
      <c r="D45" s="30" t="s">
        <v>44</v>
      </c>
      <c r="E45" s="18">
        <v>21.001941181177401</v>
      </c>
      <c r="F45" s="18">
        <v>105.823011757468</v>
      </c>
      <c r="G45" s="16" t="s">
        <v>89</v>
      </c>
      <c r="H45" s="19">
        <v>52000000</v>
      </c>
      <c r="I45" s="20">
        <f t="shared" si="0"/>
        <v>416000000</v>
      </c>
      <c r="J45" s="19">
        <v>280000000</v>
      </c>
      <c r="K45" s="44">
        <v>80</v>
      </c>
      <c r="L45" s="21">
        <v>1200</v>
      </c>
      <c r="M45" s="22">
        <v>900</v>
      </c>
      <c r="O45" s="15"/>
      <c r="P45" s="47"/>
      <c r="Q45" s="47"/>
      <c r="R45" s="48"/>
      <c r="S45" s="48"/>
    </row>
    <row r="46" spans="1:19">
      <c r="A46" s="45" t="s">
        <v>89</v>
      </c>
      <c r="B46" s="43" t="s">
        <v>200</v>
      </c>
      <c r="C46" s="17" t="s">
        <v>97</v>
      </c>
      <c r="D46" s="16" t="s">
        <v>98</v>
      </c>
      <c r="E46" s="18">
        <v>21.003021949481099</v>
      </c>
      <c r="F46" s="18">
        <v>105.797524438121</v>
      </c>
      <c r="G46" s="16" t="s">
        <v>89</v>
      </c>
      <c r="H46" s="19">
        <v>35000000</v>
      </c>
      <c r="I46" s="20">
        <f t="shared" si="0"/>
        <v>262500000</v>
      </c>
      <c r="J46" s="19">
        <v>260000000</v>
      </c>
      <c r="K46" s="44">
        <v>75</v>
      </c>
      <c r="L46" s="21">
        <v>1000</v>
      </c>
      <c r="M46" s="22">
        <v>800</v>
      </c>
      <c r="O46" s="15"/>
      <c r="P46" s="47"/>
      <c r="Q46" s="47"/>
      <c r="R46" s="48"/>
      <c r="S46" s="48"/>
    </row>
    <row r="47" spans="1:19">
      <c r="A47" s="45" t="s">
        <v>89</v>
      </c>
      <c r="B47" s="43" t="s">
        <v>200</v>
      </c>
      <c r="C47" s="17" t="s">
        <v>99</v>
      </c>
      <c r="D47" s="16" t="s">
        <v>100</v>
      </c>
      <c r="E47" s="18">
        <v>20.999841538135598</v>
      </c>
      <c r="F47" s="18">
        <v>105.807610136275</v>
      </c>
      <c r="G47" s="16" t="s">
        <v>89</v>
      </c>
      <c r="H47" s="19">
        <v>30000000</v>
      </c>
      <c r="I47" s="20">
        <f t="shared" si="0"/>
        <v>270000000</v>
      </c>
      <c r="J47" s="19">
        <v>300000000</v>
      </c>
      <c r="K47" s="44">
        <v>90</v>
      </c>
      <c r="L47" s="21">
        <v>1200</v>
      </c>
      <c r="M47" s="22">
        <v>950</v>
      </c>
      <c r="O47" s="15"/>
      <c r="P47" s="47"/>
      <c r="Q47" s="47"/>
      <c r="R47" s="48"/>
      <c r="S47" s="48"/>
    </row>
    <row r="48" spans="1:19">
      <c r="A48" s="45" t="s">
        <v>89</v>
      </c>
      <c r="B48" s="43" t="s">
        <v>200</v>
      </c>
      <c r="C48" s="17" t="s">
        <v>101</v>
      </c>
      <c r="D48" s="16" t="s">
        <v>102</v>
      </c>
      <c r="E48" s="18">
        <v>20.995556528672001</v>
      </c>
      <c r="F48" s="18">
        <v>105.804596378605</v>
      </c>
      <c r="G48" s="16" t="s">
        <v>89</v>
      </c>
      <c r="H48" s="19">
        <v>34000000</v>
      </c>
      <c r="I48" s="20">
        <f t="shared" si="0"/>
        <v>306000000</v>
      </c>
      <c r="J48" s="19">
        <v>300000000</v>
      </c>
      <c r="K48" s="44">
        <v>90</v>
      </c>
      <c r="L48" s="21">
        <v>1200</v>
      </c>
      <c r="M48" s="22">
        <v>950</v>
      </c>
      <c r="O48" s="15"/>
      <c r="P48" s="47"/>
      <c r="Q48" s="47"/>
      <c r="R48" s="48"/>
      <c r="S48" s="48"/>
    </row>
    <row r="49" spans="1:19">
      <c r="A49" s="45" t="s">
        <v>89</v>
      </c>
      <c r="B49" s="43" t="s">
        <v>200</v>
      </c>
      <c r="C49" s="23" t="s">
        <v>103</v>
      </c>
      <c r="D49" s="31" t="s">
        <v>104</v>
      </c>
      <c r="E49" s="25">
        <v>20.980471631340698</v>
      </c>
      <c r="F49" s="25">
        <v>105.814821769484</v>
      </c>
      <c r="G49" s="24" t="s">
        <v>89</v>
      </c>
      <c r="H49" s="26">
        <v>16000000</v>
      </c>
      <c r="I49" s="27">
        <f t="shared" si="0"/>
        <v>112000000</v>
      </c>
      <c r="J49" s="26">
        <v>250000000</v>
      </c>
      <c r="K49" s="44">
        <v>70</v>
      </c>
      <c r="L49" s="28">
        <v>1000</v>
      </c>
      <c r="M49" s="29">
        <v>750</v>
      </c>
      <c r="O49" s="15"/>
      <c r="P49" s="47"/>
      <c r="Q49" s="47"/>
      <c r="R49" s="48"/>
      <c r="S49" s="48"/>
    </row>
    <row r="50" spans="1:19">
      <c r="A50" s="45" t="s">
        <v>105</v>
      </c>
      <c r="B50" s="43" t="s">
        <v>201</v>
      </c>
      <c r="C50" s="7" t="s">
        <v>106</v>
      </c>
      <c r="D50" s="10" t="s">
        <v>107</v>
      </c>
      <c r="E50" s="9">
        <v>21.007243967254102</v>
      </c>
      <c r="F50" s="9">
        <v>105.79575052698399</v>
      </c>
      <c r="G50" s="10" t="s">
        <v>105</v>
      </c>
      <c r="H50" s="11">
        <v>59000000</v>
      </c>
      <c r="I50" s="12">
        <f t="shared" si="0"/>
        <v>590000000</v>
      </c>
      <c r="J50" s="11">
        <v>300000000</v>
      </c>
      <c r="K50" s="44">
        <v>100</v>
      </c>
      <c r="L50" s="10">
        <v>1500</v>
      </c>
      <c r="M50" s="32">
        <v>1200</v>
      </c>
      <c r="O50" s="15"/>
      <c r="P50" s="47"/>
      <c r="Q50" s="47"/>
      <c r="R50" s="48"/>
      <c r="S50" s="48"/>
    </row>
    <row r="51" spans="1:19">
      <c r="A51" s="45" t="s">
        <v>105</v>
      </c>
      <c r="B51" s="43" t="s">
        <v>201</v>
      </c>
      <c r="C51" s="17" t="s">
        <v>108</v>
      </c>
      <c r="D51" s="16" t="s">
        <v>109</v>
      </c>
      <c r="E51" s="18">
        <v>21.007559420198799</v>
      </c>
      <c r="F51" s="18">
        <v>105.79318799999901</v>
      </c>
      <c r="G51" s="16" t="s">
        <v>105</v>
      </c>
      <c r="H51" s="19">
        <v>59000000</v>
      </c>
      <c r="I51" s="12">
        <f t="shared" si="0"/>
        <v>590000000</v>
      </c>
      <c r="J51" s="19">
        <v>280000000</v>
      </c>
      <c r="K51" s="44">
        <v>100</v>
      </c>
      <c r="L51" s="16">
        <v>1400</v>
      </c>
      <c r="M51" s="33">
        <v>1100</v>
      </c>
      <c r="O51" s="15"/>
      <c r="P51" s="47"/>
      <c r="Q51" s="47"/>
      <c r="R51" s="48"/>
      <c r="S51" s="48"/>
    </row>
    <row r="52" spans="1:19">
      <c r="A52" s="45" t="s">
        <v>105</v>
      </c>
      <c r="B52" s="43" t="s">
        <v>201</v>
      </c>
      <c r="C52" s="17" t="s">
        <v>110</v>
      </c>
      <c r="D52" s="16" t="s">
        <v>111</v>
      </c>
      <c r="E52" s="18">
        <v>21.035968887096701</v>
      </c>
      <c r="F52" s="18">
        <v>105.782779257671</v>
      </c>
      <c r="G52" s="16" t="s">
        <v>105</v>
      </c>
      <c r="H52" s="19">
        <v>48000000</v>
      </c>
      <c r="I52" s="12">
        <f t="shared" si="0"/>
        <v>384000000</v>
      </c>
      <c r="J52" s="19">
        <v>280000000</v>
      </c>
      <c r="K52" s="44">
        <v>80</v>
      </c>
      <c r="L52" s="16">
        <v>1300</v>
      </c>
      <c r="M52" s="33">
        <v>1050</v>
      </c>
      <c r="O52" s="15"/>
      <c r="P52" s="47"/>
      <c r="Q52" s="47"/>
      <c r="R52" s="48"/>
      <c r="S52" s="48"/>
    </row>
    <row r="53" spans="1:19">
      <c r="A53" s="45" t="s">
        <v>105</v>
      </c>
      <c r="B53" s="43" t="s">
        <v>201</v>
      </c>
      <c r="C53" s="17" t="s">
        <v>112</v>
      </c>
      <c r="D53" s="16" t="s">
        <v>113</v>
      </c>
      <c r="E53" s="18">
        <v>21.011984508668501</v>
      </c>
      <c r="F53" s="18">
        <v>105.800458784656</v>
      </c>
      <c r="G53" s="16" t="s">
        <v>105</v>
      </c>
      <c r="H53" s="19">
        <v>59000000</v>
      </c>
      <c r="I53" s="12">
        <f t="shared" si="0"/>
        <v>531000000</v>
      </c>
      <c r="J53" s="19">
        <v>200000000</v>
      </c>
      <c r="K53" s="44">
        <v>90</v>
      </c>
      <c r="L53" s="16">
        <v>600</v>
      </c>
      <c r="M53" s="33">
        <v>250</v>
      </c>
      <c r="O53" s="15"/>
      <c r="P53" s="47"/>
      <c r="Q53" s="47"/>
      <c r="R53" s="48"/>
      <c r="S53" s="48"/>
    </row>
    <row r="54" spans="1:19">
      <c r="A54" s="45" t="s">
        <v>105</v>
      </c>
      <c r="B54" s="43" t="s">
        <v>201</v>
      </c>
      <c r="C54" s="17" t="s">
        <v>114</v>
      </c>
      <c r="D54" s="16" t="s">
        <v>115</v>
      </c>
      <c r="E54" s="18">
        <v>21.0357202152681</v>
      </c>
      <c r="F54" s="18">
        <v>105.794687515343</v>
      </c>
      <c r="G54" s="16" t="s">
        <v>105</v>
      </c>
      <c r="H54" s="19">
        <v>59000000</v>
      </c>
      <c r="I54" s="12">
        <f t="shared" si="0"/>
        <v>295000000</v>
      </c>
      <c r="J54" s="19">
        <v>220000000</v>
      </c>
      <c r="K54" s="44">
        <v>50</v>
      </c>
      <c r="L54" s="16">
        <v>800</v>
      </c>
      <c r="M54" s="33">
        <v>550</v>
      </c>
      <c r="O54" s="15"/>
      <c r="P54" s="47"/>
      <c r="Q54" s="47"/>
      <c r="R54" s="48"/>
      <c r="S54" s="48"/>
    </row>
    <row r="55" spans="1:19">
      <c r="A55" s="45" t="s">
        <v>105</v>
      </c>
      <c r="B55" s="43" t="s">
        <v>201</v>
      </c>
      <c r="C55" s="17" t="s">
        <v>116</v>
      </c>
      <c r="D55" s="16" t="s">
        <v>117</v>
      </c>
      <c r="E55" s="18">
        <v>21.0195528551574</v>
      </c>
      <c r="F55" s="18">
        <v>105.79744696931201</v>
      </c>
      <c r="G55" s="16" t="s">
        <v>105</v>
      </c>
      <c r="H55" s="19">
        <v>30000000</v>
      </c>
      <c r="I55" s="12">
        <f t="shared" si="0"/>
        <v>180000000</v>
      </c>
      <c r="J55" s="19">
        <v>180000000</v>
      </c>
      <c r="K55" s="44">
        <v>60</v>
      </c>
      <c r="L55" s="16">
        <v>1000</v>
      </c>
      <c r="M55" s="33">
        <v>650</v>
      </c>
      <c r="O55" s="15"/>
      <c r="P55" s="47"/>
      <c r="Q55" s="47"/>
      <c r="R55" s="48"/>
      <c r="S55" s="48"/>
    </row>
    <row r="56" spans="1:19">
      <c r="A56" s="45" t="s">
        <v>105</v>
      </c>
      <c r="B56" s="43" t="s">
        <v>201</v>
      </c>
      <c r="C56" s="23" t="s">
        <v>118</v>
      </c>
      <c r="D56" s="24" t="s">
        <v>119</v>
      </c>
      <c r="E56" s="25">
        <v>21.038001138068001</v>
      </c>
      <c r="F56" s="25">
        <v>105.782283142328</v>
      </c>
      <c r="G56" s="24" t="s">
        <v>105</v>
      </c>
      <c r="H56" s="26">
        <v>48000000</v>
      </c>
      <c r="I56" s="12">
        <f t="shared" si="0"/>
        <v>336000000</v>
      </c>
      <c r="J56" s="26">
        <v>130000000</v>
      </c>
      <c r="K56" s="44">
        <v>70</v>
      </c>
      <c r="L56" s="24">
        <v>700</v>
      </c>
      <c r="M56" s="34">
        <v>200</v>
      </c>
      <c r="O56" s="15"/>
      <c r="P56" s="47"/>
      <c r="Q56" s="47"/>
      <c r="R56" s="48"/>
      <c r="S56" s="48"/>
    </row>
    <row r="57" spans="1:19">
      <c r="A57" s="45" t="s">
        <v>120</v>
      </c>
      <c r="B57" s="43" t="s">
        <v>202</v>
      </c>
      <c r="C57" s="7" t="s">
        <v>121</v>
      </c>
      <c r="D57" s="10" t="s">
        <v>122</v>
      </c>
      <c r="E57" s="9">
        <v>21.050916410278099</v>
      </c>
      <c r="F57" s="9">
        <v>105.91642974232801</v>
      </c>
      <c r="G57" s="10" t="s">
        <v>120</v>
      </c>
      <c r="H57" s="11">
        <v>26000000</v>
      </c>
      <c r="I57" s="12">
        <f t="shared" si="0"/>
        <v>260000000</v>
      </c>
      <c r="J57" s="11">
        <v>250000000</v>
      </c>
      <c r="K57" s="44">
        <v>100</v>
      </c>
      <c r="L57" s="10">
        <v>1200</v>
      </c>
      <c r="M57" s="32">
        <v>950</v>
      </c>
      <c r="O57" s="15"/>
      <c r="P57" s="47"/>
      <c r="Q57" s="47"/>
      <c r="R57" s="48"/>
      <c r="S57" s="48"/>
    </row>
    <row r="58" spans="1:19">
      <c r="A58" s="45" t="s">
        <v>120</v>
      </c>
      <c r="B58" s="43" t="s">
        <v>202</v>
      </c>
      <c r="C58" s="17" t="s">
        <v>123</v>
      </c>
      <c r="D58" s="16" t="s">
        <v>124</v>
      </c>
      <c r="E58" s="18">
        <v>21.027616158891099</v>
      </c>
      <c r="F58" s="18">
        <v>105.898784871164</v>
      </c>
      <c r="G58" s="16" t="s">
        <v>120</v>
      </c>
      <c r="H58" s="19">
        <v>22000000</v>
      </c>
      <c r="I58" s="12">
        <f t="shared" si="0"/>
        <v>198000000</v>
      </c>
      <c r="J58" s="19">
        <v>300000000</v>
      </c>
      <c r="K58" s="44">
        <v>90</v>
      </c>
      <c r="L58" s="16">
        <v>1500</v>
      </c>
      <c r="M58" s="33">
        <v>1200</v>
      </c>
      <c r="O58" s="15"/>
      <c r="P58" s="47"/>
      <c r="Q58" s="47"/>
      <c r="R58" s="48"/>
      <c r="S58" s="48"/>
    </row>
    <row r="59" spans="1:19">
      <c r="A59" s="45" t="s">
        <v>120</v>
      </c>
      <c r="B59" s="43" t="s">
        <v>202</v>
      </c>
      <c r="C59" s="17" t="s">
        <v>125</v>
      </c>
      <c r="D59" s="16" t="s">
        <v>126</v>
      </c>
      <c r="E59" s="18">
        <v>21.0390849948569</v>
      </c>
      <c r="F59" s="18">
        <v>105.89440759232799</v>
      </c>
      <c r="G59" s="16" t="s">
        <v>120</v>
      </c>
      <c r="H59" s="19">
        <v>22000000</v>
      </c>
      <c r="I59" s="12">
        <f t="shared" si="0"/>
        <v>132000000</v>
      </c>
      <c r="J59" s="19">
        <v>150000000</v>
      </c>
      <c r="K59" s="44">
        <v>60</v>
      </c>
      <c r="L59" s="16">
        <v>500</v>
      </c>
      <c r="M59" s="33">
        <v>200</v>
      </c>
      <c r="O59" s="15"/>
      <c r="P59" s="47"/>
      <c r="Q59" s="47"/>
      <c r="R59" s="48"/>
      <c r="S59" s="48"/>
    </row>
    <row r="60" spans="1:19">
      <c r="A60" s="45" t="s">
        <v>120</v>
      </c>
      <c r="B60" s="43" t="s">
        <v>202</v>
      </c>
      <c r="C60" s="17" t="s">
        <v>127</v>
      </c>
      <c r="D60" s="16" t="s">
        <v>128</v>
      </c>
      <c r="E60" s="18">
        <v>21.041146209928801</v>
      </c>
      <c r="F60" s="18">
        <v>105.917765157671</v>
      </c>
      <c r="G60" s="16" t="s">
        <v>120</v>
      </c>
      <c r="H60" s="19">
        <v>26000000</v>
      </c>
      <c r="I60" s="12">
        <f t="shared" si="0"/>
        <v>182000000</v>
      </c>
      <c r="J60" s="19">
        <v>150000000</v>
      </c>
      <c r="K60" s="44">
        <v>70</v>
      </c>
      <c r="L60" s="16">
        <v>1000</v>
      </c>
      <c r="M60" s="33">
        <v>650</v>
      </c>
      <c r="O60" s="15"/>
      <c r="P60" s="47"/>
      <c r="Q60" s="47"/>
      <c r="R60" s="48"/>
      <c r="S60" s="48"/>
    </row>
    <row r="61" spans="1:19">
      <c r="A61" s="45" t="s">
        <v>120</v>
      </c>
      <c r="B61" s="43" t="s">
        <v>202</v>
      </c>
      <c r="C61" s="17" t="s">
        <v>129</v>
      </c>
      <c r="D61" s="16" t="s">
        <v>130</v>
      </c>
      <c r="E61" s="18">
        <v>21.0505406825481</v>
      </c>
      <c r="F61" s="18">
        <v>105.89354181349201</v>
      </c>
      <c r="G61" s="16" t="s">
        <v>120</v>
      </c>
      <c r="H61" s="19">
        <v>24000000</v>
      </c>
      <c r="I61" s="12">
        <f t="shared" si="0"/>
        <v>168000000</v>
      </c>
      <c r="J61" s="19">
        <v>280000000</v>
      </c>
      <c r="K61" s="44">
        <v>70</v>
      </c>
      <c r="L61" s="16">
        <v>1200</v>
      </c>
      <c r="M61" s="33">
        <v>950</v>
      </c>
      <c r="O61" s="15"/>
      <c r="P61" s="47"/>
      <c r="Q61" s="47"/>
      <c r="R61" s="48"/>
      <c r="S61" s="48"/>
    </row>
    <row r="62" spans="1:19">
      <c r="A62" s="45" t="s">
        <v>120</v>
      </c>
      <c r="B62" s="43" t="s">
        <v>202</v>
      </c>
      <c r="C62" s="17" t="s">
        <v>131</v>
      </c>
      <c r="D62" s="16" t="s">
        <v>132</v>
      </c>
      <c r="E62" s="18">
        <v>21.046113415396299</v>
      </c>
      <c r="F62" s="18">
        <v>105.866600542328</v>
      </c>
      <c r="G62" s="16" t="s">
        <v>120</v>
      </c>
      <c r="H62" s="19">
        <v>27000000</v>
      </c>
      <c r="I62" s="12">
        <f t="shared" si="0"/>
        <v>216000000</v>
      </c>
      <c r="J62" s="19">
        <v>200000000</v>
      </c>
      <c r="K62" s="44">
        <v>80</v>
      </c>
      <c r="L62" s="16">
        <v>800</v>
      </c>
      <c r="M62" s="33">
        <v>550</v>
      </c>
      <c r="O62" s="15"/>
      <c r="P62" s="47"/>
      <c r="Q62" s="47"/>
      <c r="R62" s="48"/>
      <c r="S62" s="48"/>
    </row>
    <row r="63" spans="1:19">
      <c r="A63" s="45" t="s">
        <v>120</v>
      </c>
      <c r="B63" s="43" t="s">
        <v>202</v>
      </c>
      <c r="C63" s="23" t="s">
        <v>133</v>
      </c>
      <c r="D63" s="24" t="s">
        <v>134</v>
      </c>
      <c r="E63" s="25">
        <v>21.021703669560001</v>
      </c>
      <c r="F63" s="25">
        <v>105.89500131164</v>
      </c>
      <c r="G63" s="24" t="s">
        <v>120</v>
      </c>
      <c r="H63" s="26">
        <v>14000000</v>
      </c>
      <c r="I63" s="12">
        <f t="shared" si="0"/>
        <v>140000000</v>
      </c>
      <c r="J63" s="26">
        <v>120000000</v>
      </c>
      <c r="K63" s="44">
        <v>100</v>
      </c>
      <c r="L63" s="24">
        <v>600</v>
      </c>
      <c r="M63" s="34">
        <v>250</v>
      </c>
      <c r="O63" s="15"/>
      <c r="P63" s="47"/>
      <c r="Q63" s="47"/>
      <c r="R63" s="48"/>
      <c r="S63" s="48"/>
    </row>
    <row r="64" spans="1:19">
      <c r="A64" s="46" t="s">
        <v>135</v>
      </c>
      <c r="B64" s="43" t="s">
        <v>203</v>
      </c>
      <c r="C64" s="7" t="s">
        <v>136</v>
      </c>
      <c r="D64" s="35" t="s">
        <v>137</v>
      </c>
      <c r="E64" s="9">
        <v>20.994829814508101</v>
      </c>
      <c r="F64" s="9">
        <v>105.760771770592</v>
      </c>
      <c r="G64" s="10" t="s">
        <v>135</v>
      </c>
      <c r="H64" s="19">
        <v>24000000</v>
      </c>
      <c r="I64" s="11">
        <f t="shared" si="0"/>
        <v>288000000</v>
      </c>
      <c r="J64" s="11">
        <v>150000000</v>
      </c>
      <c r="K64" s="44">
        <v>120</v>
      </c>
      <c r="L64" s="10">
        <v>1200</v>
      </c>
      <c r="M64" s="10">
        <v>900</v>
      </c>
      <c r="O64" s="15"/>
      <c r="P64" s="47"/>
      <c r="Q64" s="47"/>
      <c r="R64" s="48"/>
      <c r="S64" s="48"/>
    </row>
    <row r="65" spans="1:19">
      <c r="A65" s="46" t="s">
        <v>135</v>
      </c>
      <c r="B65" s="43" t="s">
        <v>203</v>
      </c>
      <c r="C65" s="17" t="s">
        <v>138</v>
      </c>
      <c r="D65" s="36" t="s">
        <v>139</v>
      </c>
      <c r="E65" s="18">
        <v>20.989964139743002</v>
      </c>
      <c r="F65" s="18">
        <v>105.751727628835</v>
      </c>
      <c r="G65" s="16" t="s">
        <v>135</v>
      </c>
      <c r="H65" s="19">
        <v>17000000</v>
      </c>
      <c r="I65" s="11">
        <f t="shared" si="0"/>
        <v>170000000</v>
      </c>
      <c r="J65" s="19">
        <v>150000000</v>
      </c>
      <c r="K65" s="44">
        <v>100</v>
      </c>
      <c r="L65" s="16">
        <v>1400</v>
      </c>
      <c r="M65" s="16">
        <v>1100</v>
      </c>
      <c r="O65" s="15"/>
      <c r="P65" s="47"/>
      <c r="Q65" s="47"/>
      <c r="R65" s="48"/>
      <c r="S65" s="48"/>
    </row>
    <row r="66" spans="1:19">
      <c r="A66" s="46" t="s">
        <v>135</v>
      </c>
      <c r="B66" s="43" t="s">
        <v>203</v>
      </c>
      <c r="C66" s="17" t="s">
        <v>140</v>
      </c>
      <c r="D66" s="36" t="s">
        <v>141</v>
      </c>
      <c r="E66" s="18">
        <v>20.949809431260601</v>
      </c>
      <c r="F66" s="18">
        <v>105.747638484658</v>
      </c>
      <c r="G66" s="16" t="s">
        <v>135</v>
      </c>
      <c r="H66" s="19">
        <v>16000000</v>
      </c>
      <c r="I66" s="11">
        <f t="shared" si="0"/>
        <v>144000000</v>
      </c>
      <c r="J66" s="19">
        <v>90000000</v>
      </c>
      <c r="K66" s="44">
        <v>90</v>
      </c>
      <c r="L66" s="16">
        <v>1500</v>
      </c>
      <c r="M66" s="16">
        <v>1200</v>
      </c>
      <c r="O66" s="15"/>
      <c r="P66" s="47"/>
      <c r="Q66" s="47"/>
      <c r="R66" s="48"/>
      <c r="S66" s="48"/>
    </row>
    <row r="67" spans="1:19">
      <c r="A67" s="46" t="s">
        <v>135</v>
      </c>
      <c r="B67" s="43" t="s">
        <v>203</v>
      </c>
      <c r="C67" s="17" t="s">
        <v>142</v>
      </c>
      <c r="D67" s="36" t="s">
        <v>143</v>
      </c>
      <c r="E67" s="18">
        <v>20.958917955843098</v>
      </c>
      <c r="F67" s="18">
        <v>105.768850671164</v>
      </c>
      <c r="G67" s="16" t="s">
        <v>135</v>
      </c>
      <c r="H67" s="19">
        <v>16000000</v>
      </c>
      <c r="I67" s="11">
        <f t="shared" si="0"/>
        <v>128000000</v>
      </c>
      <c r="J67" s="19">
        <v>100000000</v>
      </c>
      <c r="K67" s="44">
        <v>80</v>
      </c>
      <c r="L67" s="16">
        <v>1000</v>
      </c>
      <c r="M67" s="16">
        <v>650</v>
      </c>
      <c r="O67" s="15"/>
      <c r="P67" s="47"/>
      <c r="Q67" s="47"/>
      <c r="R67" s="48"/>
      <c r="S67" s="48"/>
    </row>
    <row r="68" spans="1:19">
      <c r="A68" s="46" t="s">
        <v>135</v>
      </c>
      <c r="B68" s="43" t="s">
        <v>203</v>
      </c>
      <c r="C68" s="17" t="s">
        <v>144</v>
      </c>
      <c r="D68" s="36" t="s">
        <v>145</v>
      </c>
      <c r="E68" s="18">
        <v>20.972698557348998</v>
      </c>
      <c r="F68" s="18">
        <v>105.758526637798</v>
      </c>
      <c r="G68" s="16" t="s">
        <v>135</v>
      </c>
      <c r="H68" s="19">
        <v>25000000</v>
      </c>
      <c r="I68" s="11">
        <f t="shared" si="0"/>
        <v>175000000</v>
      </c>
      <c r="J68" s="19">
        <v>80000000</v>
      </c>
      <c r="K68" s="44">
        <v>70</v>
      </c>
      <c r="L68" s="16">
        <v>800</v>
      </c>
      <c r="M68" s="16">
        <v>550</v>
      </c>
      <c r="O68" s="15"/>
      <c r="P68" s="47"/>
      <c r="Q68" s="47"/>
      <c r="R68" s="48"/>
      <c r="S68" s="48"/>
    </row>
    <row r="69" spans="1:19">
      <c r="A69" s="46" t="s">
        <v>135</v>
      </c>
      <c r="B69" s="43" t="s">
        <v>203</v>
      </c>
      <c r="C69" s="17" t="s">
        <v>146</v>
      </c>
      <c r="D69" s="36" t="s">
        <v>147</v>
      </c>
      <c r="E69" s="18">
        <v>20.963240186319702</v>
      </c>
      <c r="F69" s="18">
        <v>105.746182928835</v>
      </c>
      <c r="G69" s="16" t="s">
        <v>135</v>
      </c>
      <c r="H69" s="19">
        <v>16000000</v>
      </c>
      <c r="I69" s="11">
        <f t="shared" si="0"/>
        <v>128000000</v>
      </c>
      <c r="J69" s="19">
        <v>100000000</v>
      </c>
      <c r="K69" s="44">
        <v>80</v>
      </c>
      <c r="L69" s="16">
        <v>1000</v>
      </c>
      <c r="M69" s="16">
        <v>650</v>
      </c>
      <c r="O69" s="15"/>
      <c r="P69" s="47"/>
      <c r="Q69" s="47"/>
      <c r="R69" s="48"/>
      <c r="S69" s="48"/>
    </row>
    <row r="70" spans="1:19">
      <c r="A70" s="46" t="s">
        <v>135</v>
      </c>
      <c r="B70" s="43" t="s">
        <v>203</v>
      </c>
      <c r="C70" s="17" t="s">
        <v>148</v>
      </c>
      <c r="D70" s="37" t="s">
        <v>149</v>
      </c>
      <c r="E70" s="25">
        <v>20.964446609693599</v>
      </c>
      <c r="F70" s="25">
        <v>105.771818528835</v>
      </c>
      <c r="G70" s="16" t="s">
        <v>135</v>
      </c>
      <c r="H70" s="26">
        <v>24000000</v>
      </c>
      <c r="I70" s="11">
        <f t="shared" si="0"/>
        <v>192000000</v>
      </c>
      <c r="J70" s="19">
        <v>120000000</v>
      </c>
      <c r="K70" s="44">
        <v>80</v>
      </c>
      <c r="L70" s="16">
        <v>600</v>
      </c>
      <c r="M70" s="16">
        <v>250</v>
      </c>
      <c r="O70" s="15"/>
      <c r="P70" s="47"/>
      <c r="Q70" s="47"/>
      <c r="R70" s="48"/>
      <c r="S70" s="48"/>
    </row>
    <row r="71" spans="1:19">
      <c r="A71" s="46" t="s">
        <v>150</v>
      </c>
      <c r="B71" s="43" t="s">
        <v>204</v>
      </c>
      <c r="C71" s="7" t="s">
        <v>151</v>
      </c>
      <c r="D71" s="38" t="s">
        <v>152</v>
      </c>
      <c r="E71" s="9">
        <v>21.076251433464702</v>
      </c>
      <c r="F71" s="9">
        <v>105.812704915341</v>
      </c>
      <c r="G71" s="10" t="s">
        <v>150</v>
      </c>
      <c r="H71" s="19">
        <v>44000000</v>
      </c>
      <c r="I71" s="11">
        <f t="shared" si="0"/>
        <v>396000000</v>
      </c>
      <c r="J71" s="11">
        <v>350000000</v>
      </c>
      <c r="K71" s="44">
        <v>90</v>
      </c>
      <c r="L71" s="10">
        <v>1500</v>
      </c>
      <c r="M71" s="10">
        <v>1200</v>
      </c>
      <c r="O71" s="15"/>
      <c r="P71" s="47"/>
      <c r="Q71" s="47"/>
      <c r="R71" s="48"/>
      <c r="S71" s="48"/>
    </row>
    <row r="72" spans="1:19">
      <c r="A72" s="46" t="s">
        <v>150</v>
      </c>
      <c r="B72" s="43" t="s">
        <v>204</v>
      </c>
      <c r="C72" s="17" t="s">
        <v>153</v>
      </c>
      <c r="D72" s="39" t="s">
        <v>154</v>
      </c>
      <c r="E72" s="18">
        <v>21.075993002587499</v>
      </c>
      <c r="F72" s="18">
        <v>105.809941638091</v>
      </c>
      <c r="G72" s="16" t="s">
        <v>150</v>
      </c>
      <c r="H72" s="19">
        <v>28000000</v>
      </c>
      <c r="I72" s="11">
        <f t="shared" si="0"/>
        <v>252000000</v>
      </c>
      <c r="J72" s="19">
        <v>250000000</v>
      </c>
      <c r="K72" s="44">
        <v>90</v>
      </c>
      <c r="L72" s="16">
        <v>600</v>
      </c>
      <c r="M72" s="16">
        <v>250</v>
      </c>
      <c r="O72" s="15"/>
      <c r="P72" s="47"/>
      <c r="Q72" s="47"/>
      <c r="R72" s="48"/>
      <c r="S72" s="48"/>
    </row>
    <row r="73" spans="1:19">
      <c r="A73" s="46" t="s">
        <v>150</v>
      </c>
      <c r="B73" s="43" t="s">
        <v>204</v>
      </c>
      <c r="C73" s="17" t="s">
        <v>155</v>
      </c>
      <c r="D73" s="39" t="s">
        <v>156</v>
      </c>
      <c r="E73" s="18">
        <v>21.072361941321301</v>
      </c>
      <c r="F73" s="18">
        <v>105.809122169316</v>
      </c>
      <c r="G73" s="16" t="s">
        <v>150</v>
      </c>
      <c r="H73" s="19">
        <v>31000000</v>
      </c>
      <c r="I73" s="11">
        <f t="shared" si="0"/>
        <v>217000000</v>
      </c>
      <c r="J73" s="19">
        <v>250000000</v>
      </c>
      <c r="K73" s="44">
        <v>70</v>
      </c>
      <c r="L73" s="16">
        <v>1200</v>
      </c>
      <c r="M73" s="16">
        <v>800</v>
      </c>
      <c r="O73" s="15"/>
      <c r="P73" s="47"/>
      <c r="Q73" s="47"/>
      <c r="R73" s="48"/>
      <c r="S73" s="48"/>
    </row>
    <row r="74" spans="1:19">
      <c r="A74" s="46" t="s">
        <v>150</v>
      </c>
      <c r="B74" s="43" t="s">
        <v>204</v>
      </c>
      <c r="C74" s="17" t="s">
        <v>157</v>
      </c>
      <c r="D74" s="39" t="s">
        <v>158</v>
      </c>
      <c r="E74" s="18">
        <v>21.073162603749601</v>
      </c>
      <c r="F74" s="18">
        <v>105.81719809815201</v>
      </c>
      <c r="G74" s="16" t="s">
        <v>150</v>
      </c>
      <c r="H74" s="19">
        <v>44000000</v>
      </c>
      <c r="I74" s="11">
        <f t="shared" si="0"/>
        <v>440000000</v>
      </c>
      <c r="J74" s="19">
        <v>200000000</v>
      </c>
      <c r="K74" s="44">
        <v>100</v>
      </c>
      <c r="L74" s="16">
        <v>800</v>
      </c>
      <c r="M74" s="16">
        <v>350</v>
      </c>
      <c r="O74" s="15"/>
      <c r="P74" s="47"/>
      <c r="Q74" s="47"/>
      <c r="R74" s="48"/>
      <c r="S74" s="48"/>
    </row>
    <row r="75" spans="1:19">
      <c r="A75" s="46" t="s">
        <v>150</v>
      </c>
      <c r="B75" s="43" t="s">
        <v>204</v>
      </c>
      <c r="C75" s="17" t="s">
        <v>159</v>
      </c>
      <c r="D75" s="39" t="s">
        <v>160</v>
      </c>
      <c r="E75" s="18">
        <v>21.061090630514201</v>
      </c>
      <c r="F75" s="18">
        <v>105.831916684658</v>
      </c>
      <c r="G75" s="16" t="s">
        <v>150</v>
      </c>
      <c r="H75" s="19">
        <v>50000000</v>
      </c>
      <c r="I75" s="11">
        <f t="shared" si="0"/>
        <v>400000000</v>
      </c>
      <c r="J75" s="19">
        <v>300000000</v>
      </c>
      <c r="K75" s="44">
        <v>80</v>
      </c>
      <c r="L75" s="16">
        <v>1000</v>
      </c>
      <c r="M75" s="16">
        <v>750</v>
      </c>
      <c r="O75" s="15"/>
      <c r="P75" s="47"/>
      <c r="Q75" s="47"/>
      <c r="R75" s="48"/>
      <c r="S75" s="48"/>
    </row>
    <row r="76" spans="1:19">
      <c r="A76" s="46" t="s">
        <v>150</v>
      </c>
      <c r="B76" s="43" t="s">
        <v>204</v>
      </c>
      <c r="C76" s="17" t="s">
        <v>161</v>
      </c>
      <c r="D76" s="39" t="s">
        <v>162</v>
      </c>
      <c r="E76" s="18">
        <v>21.052175005612099</v>
      </c>
      <c r="F76" s="18">
        <v>105.808481528835</v>
      </c>
      <c r="G76" s="16" t="s">
        <v>150</v>
      </c>
      <c r="H76" s="19">
        <v>44000000</v>
      </c>
      <c r="I76" s="11">
        <f t="shared" si="0"/>
        <v>308000000</v>
      </c>
      <c r="J76" s="19">
        <v>220000000</v>
      </c>
      <c r="K76" s="44">
        <v>70</v>
      </c>
      <c r="L76" s="16">
        <v>900</v>
      </c>
      <c r="M76" s="16">
        <v>650</v>
      </c>
      <c r="O76" s="15"/>
      <c r="P76" s="47"/>
      <c r="Q76" s="47"/>
      <c r="R76" s="48"/>
      <c r="S76" s="48"/>
    </row>
    <row r="77" spans="1:19">
      <c r="A77" s="46" t="s">
        <v>150</v>
      </c>
      <c r="B77" s="43" t="s">
        <v>204</v>
      </c>
      <c r="C77" s="17" t="s">
        <v>163</v>
      </c>
      <c r="D77" s="40" t="s">
        <v>164</v>
      </c>
      <c r="E77" s="25">
        <v>21.055361525524098</v>
      </c>
      <c r="F77" s="25">
        <v>105.819707342329</v>
      </c>
      <c r="G77" s="16" t="s">
        <v>150</v>
      </c>
      <c r="H77" s="26">
        <v>42000000</v>
      </c>
      <c r="I77" s="11">
        <f t="shared" si="0"/>
        <v>378000000</v>
      </c>
      <c r="J77" s="19">
        <v>150000000</v>
      </c>
      <c r="K77" s="44">
        <v>90</v>
      </c>
      <c r="L77" s="16">
        <v>500</v>
      </c>
      <c r="M77" s="16">
        <v>200</v>
      </c>
      <c r="O77" s="15"/>
      <c r="P77" s="47"/>
      <c r="Q77" s="47"/>
      <c r="R77" s="48"/>
      <c r="S77" s="48"/>
    </row>
    <row r="78" spans="1:19">
      <c r="A78" s="46" t="s">
        <v>165</v>
      </c>
      <c r="B78" s="43" t="s">
        <v>205</v>
      </c>
      <c r="C78" s="7" t="s">
        <v>166</v>
      </c>
      <c r="D78" s="38" t="s">
        <v>167</v>
      </c>
      <c r="E78" s="9">
        <v>21.072330595831598</v>
      </c>
      <c r="F78" s="9">
        <v>105.774014830683</v>
      </c>
      <c r="G78" s="10" t="s">
        <v>165</v>
      </c>
      <c r="H78" s="19">
        <v>16000000</v>
      </c>
      <c r="I78" s="11">
        <f t="shared" si="0"/>
        <v>160000000</v>
      </c>
      <c r="J78" s="11">
        <v>120000000</v>
      </c>
      <c r="K78" s="44">
        <v>100</v>
      </c>
      <c r="L78" s="10">
        <v>600</v>
      </c>
      <c r="M78" s="10">
        <v>300</v>
      </c>
      <c r="O78" s="15"/>
      <c r="P78" s="47"/>
      <c r="Q78" s="47"/>
      <c r="R78" s="48"/>
      <c r="S78" s="48"/>
    </row>
    <row r="79" spans="1:19">
      <c r="A79" s="46" t="s">
        <v>165</v>
      </c>
      <c r="B79" s="43" t="s">
        <v>205</v>
      </c>
      <c r="C79" s="17" t="s">
        <v>168</v>
      </c>
      <c r="D79" s="39" t="s">
        <v>169</v>
      </c>
      <c r="E79" s="18">
        <v>21.064219198095198</v>
      </c>
      <c r="F79" s="18">
        <v>105.78762191534101</v>
      </c>
      <c r="G79" s="16" t="s">
        <v>165</v>
      </c>
      <c r="H79" s="19">
        <v>38000000</v>
      </c>
      <c r="I79" s="11">
        <f t="shared" si="0"/>
        <v>380000000</v>
      </c>
      <c r="J79" s="19">
        <v>150000000</v>
      </c>
      <c r="K79" s="44">
        <v>100</v>
      </c>
      <c r="L79" s="16">
        <v>800</v>
      </c>
      <c r="M79" s="16">
        <v>350</v>
      </c>
      <c r="O79" s="15"/>
      <c r="P79" s="47"/>
      <c r="Q79" s="47"/>
      <c r="R79" s="48"/>
      <c r="S79" s="48"/>
    </row>
    <row r="80" spans="1:19">
      <c r="A80" s="46" t="s">
        <v>165</v>
      </c>
      <c r="B80" s="43" t="s">
        <v>205</v>
      </c>
      <c r="C80" s="17" t="s">
        <v>170</v>
      </c>
      <c r="D80" s="39" t="s">
        <v>171</v>
      </c>
      <c r="E80" s="18">
        <v>21.069698712002801</v>
      </c>
      <c r="F80" s="18">
        <v>105.79751909999899</v>
      </c>
      <c r="G80" s="16" t="s">
        <v>165</v>
      </c>
      <c r="H80" s="19">
        <v>38000000</v>
      </c>
      <c r="I80" s="11">
        <f t="shared" si="0"/>
        <v>342000000</v>
      </c>
      <c r="J80" s="19">
        <v>200000000</v>
      </c>
      <c r="K80" s="44">
        <v>90</v>
      </c>
      <c r="L80" s="16">
        <v>1200</v>
      </c>
      <c r="M80" s="16">
        <v>800</v>
      </c>
      <c r="O80" s="15"/>
      <c r="P80" s="47"/>
      <c r="Q80" s="47"/>
      <c r="R80" s="48"/>
      <c r="S80" s="48"/>
    </row>
    <row r="81" spans="1:19">
      <c r="A81" s="46" t="s">
        <v>165</v>
      </c>
      <c r="B81" s="43" t="s">
        <v>205</v>
      </c>
      <c r="C81" s="17" t="s">
        <v>172</v>
      </c>
      <c r="D81" s="39" t="s">
        <v>173</v>
      </c>
      <c r="E81" s="18">
        <v>21.053246216552999</v>
      </c>
      <c r="F81" s="18">
        <v>105.78009350000001</v>
      </c>
      <c r="G81" s="16" t="s">
        <v>165</v>
      </c>
      <c r="H81" s="19">
        <v>21000000</v>
      </c>
      <c r="I81" s="11">
        <f t="shared" si="0"/>
        <v>147000000</v>
      </c>
      <c r="J81" s="19">
        <v>200000000</v>
      </c>
      <c r="K81" s="44">
        <v>70</v>
      </c>
      <c r="L81" s="16">
        <v>900</v>
      </c>
      <c r="M81" s="16">
        <v>650</v>
      </c>
      <c r="O81" s="15"/>
      <c r="P81" s="47"/>
      <c r="Q81" s="47"/>
      <c r="R81" s="48"/>
      <c r="S81" s="48"/>
    </row>
    <row r="82" spans="1:19">
      <c r="A82" s="46" t="s">
        <v>165</v>
      </c>
      <c r="B82" s="43" t="s">
        <v>205</v>
      </c>
      <c r="C82" s="17" t="s">
        <v>174</v>
      </c>
      <c r="D82" s="39" t="s">
        <v>175</v>
      </c>
      <c r="E82" s="18">
        <v>21.039608715002402</v>
      </c>
      <c r="F82" s="18">
        <v>105.781930122749</v>
      </c>
      <c r="G82" s="16" t="s">
        <v>165</v>
      </c>
      <c r="H82" s="19">
        <v>38000000</v>
      </c>
      <c r="I82" s="11">
        <f t="shared" si="0"/>
        <v>304000000</v>
      </c>
      <c r="J82" s="19">
        <v>150000000</v>
      </c>
      <c r="K82" s="44">
        <v>80</v>
      </c>
      <c r="L82" s="16">
        <v>600</v>
      </c>
      <c r="M82" s="16">
        <v>250</v>
      </c>
      <c r="O82" s="15"/>
      <c r="P82" s="47"/>
      <c r="Q82" s="47"/>
      <c r="R82" s="48"/>
      <c r="S82" s="48"/>
    </row>
    <row r="83" spans="1:19">
      <c r="A83" s="46" t="s">
        <v>165</v>
      </c>
      <c r="B83" s="43" t="s">
        <v>205</v>
      </c>
      <c r="C83" s="17" t="s">
        <v>176</v>
      </c>
      <c r="D83" s="39" t="s">
        <v>177</v>
      </c>
      <c r="E83" s="18">
        <v>21.054596339443201</v>
      </c>
      <c r="F83" s="18">
        <v>105.77907528465801</v>
      </c>
      <c r="G83" s="16" t="s">
        <v>165</v>
      </c>
      <c r="H83" s="19">
        <v>43000000</v>
      </c>
      <c r="I83" s="11">
        <f t="shared" si="0"/>
        <v>344000000</v>
      </c>
      <c r="J83" s="19">
        <v>200000000</v>
      </c>
      <c r="K83" s="44">
        <v>80</v>
      </c>
      <c r="L83" s="16">
        <v>1000</v>
      </c>
      <c r="M83" s="16">
        <v>650</v>
      </c>
      <c r="O83" s="15"/>
      <c r="P83" s="47"/>
      <c r="Q83" s="47"/>
      <c r="R83" s="48"/>
      <c r="S83" s="48"/>
    </row>
    <row r="84" spans="1:19">
      <c r="A84" s="46" t="s">
        <v>165</v>
      </c>
      <c r="B84" s="43" t="s">
        <v>205</v>
      </c>
      <c r="C84" s="17" t="s">
        <v>178</v>
      </c>
      <c r="D84" s="40" t="s">
        <v>179</v>
      </c>
      <c r="E84" s="25">
        <v>21.0535151723472</v>
      </c>
      <c r="F84" s="25">
        <v>105.775812331529</v>
      </c>
      <c r="G84" s="16" t="s">
        <v>165</v>
      </c>
      <c r="H84" s="19">
        <v>25000000</v>
      </c>
      <c r="I84" s="11">
        <f t="shared" si="0"/>
        <v>175000000</v>
      </c>
      <c r="J84" s="19">
        <v>120000000</v>
      </c>
      <c r="K84" s="44">
        <v>70</v>
      </c>
      <c r="L84" s="16">
        <v>500</v>
      </c>
      <c r="M84" s="16">
        <v>200</v>
      </c>
      <c r="O84" s="15"/>
      <c r="P84" s="47"/>
      <c r="Q84" s="47"/>
      <c r="R84" s="48"/>
      <c r="S84" s="48"/>
    </row>
    <row r="85" spans="1:19">
      <c r="A85" s="46" t="s">
        <v>180</v>
      </c>
      <c r="B85" s="43" t="s">
        <v>206</v>
      </c>
      <c r="C85" s="7" t="s">
        <v>181</v>
      </c>
      <c r="D85" s="38" t="s">
        <v>182</v>
      </c>
      <c r="E85" s="9">
        <v>21.0154700560823</v>
      </c>
      <c r="F85" s="9">
        <v>105.77769695767201</v>
      </c>
      <c r="G85" s="10" t="s">
        <v>180</v>
      </c>
      <c r="H85" s="11">
        <v>20000000</v>
      </c>
      <c r="I85" s="11">
        <f t="shared" si="0"/>
        <v>120000000</v>
      </c>
      <c r="J85" s="11">
        <v>100000000</v>
      </c>
      <c r="K85" s="44">
        <v>60</v>
      </c>
      <c r="L85" s="10">
        <v>1000</v>
      </c>
      <c r="M85" s="10">
        <v>750</v>
      </c>
      <c r="O85" s="15"/>
      <c r="P85" s="47"/>
      <c r="Q85" s="47"/>
      <c r="R85" s="48"/>
      <c r="S85" s="48"/>
    </row>
    <row r="86" spans="1:19">
      <c r="A86" s="46" t="s">
        <v>180</v>
      </c>
      <c r="B86" s="43" t="s">
        <v>206</v>
      </c>
      <c r="C86" s="17" t="s">
        <v>183</v>
      </c>
      <c r="D86" s="39" t="s">
        <v>184</v>
      </c>
      <c r="E86" s="18">
        <v>21.018495929930499</v>
      </c>
      <c r="F86" s="18">
        <v>105.78410135582</v>
      </c>
      <c r="G86" s="16" t="s">
        <v>180</v>
      </c>
      <c r="H86" s="19">
        <v>44000000</v>
      </c>
      <c r="I86" s="11">
        <f t="shared" si="0"/>
        <v>264000000</v>
      </c>
      <c r="J86" s="19">
        <v>200000000</v>
      </c>
      <c r="K86" s="44">
        <v>60</v>
      </c>
      <c r="L86" s="16">
        <v>1500</v>
      </c>
      <c r="M86" s="16">
        <v>1200</v>
      </c>
      <c r="O86" s="15"/>
      <c r="P86" s="47"/>
      <c r="Q86" s="47"/>
      <c r="R86" s="48"/>
      <c r="S86" s="48"/>
    </row>
    <row r="87" spans="1:19">
      <c r="A87" s="46" t="s">
        <v>180</v>
      </c>
      <c r="B87" s="43" t="s">
        <v>206</v>
      </c>
      <c r="C87" s="17" t="s">
        <v>185</v>
      </c>
      <c r="D87" s="39" t="s">
        <v>186</v>
      </c>
      <c r="E87" s="18">
        <v>21.020773745396301</v>
      </c>
      <c r="F87" s="18">
        <v>105.765192369312</v>
      </c>
      <c r="G87" s="16" t="s">
        <v>180</v>
      </c>
      <c r="H87" s="19">
        <v>24000000</v>
      </c>
      <c r="I87" s="11">
        <f t="shared" si="0"/>
        <v>240000000</v>
      </c>
      <c r="J87" s="19">
        <v>120000000</v>
      </c>
      <c r="K87" s="44">
        <v>100</v>
      </c>
      <c r="L87" s="16">
        <v>2000</v>
      </c>
      <c r="M87" s="16">
        <v>1600</v>
      </c>
      <c r="O87" s="15"/>
      <c r="P87" s="47"/>
      <c r="Q87" s="47"/>
      <c r="R87" s="48"/>
      <c r="S87" s="48"/>
    </row>
    <row r="88" spans="1:19">
      <c r="A88" s="46" t="s">
        <v>180</v>
      </c>
      <c r="B88" s="43" t="s">
        <v>206</v>
      </c>
      <c r="C88" s="17" t="s">
        <v>187</v>
      </c>
      <c r="D88" s="39" t="s">
        <v>188</v>
      </c>
      <c r="E88" s="18">
        <v>21.005871396137401</v>
      </c>
      <c r="F88" s="18">
        <v>105.78763898650701</v>
      </c>
      <c r="G88" s="16" t="s">
        <v>180</v>
      </c>
      <c r="H88" s="19">
        <v>44000000</v>
      </c>
      <c r="I88" s="11">
        <f t="shared" si="0"/>
        <v>440000000</v>
      </c>
      <c r="J88" s="19">
        <v>200000000</v>
      </c>
      <c r="K88" s="44">
        <v>100</v>
      </c>
      <c r="L88" s="16">
        <v>1800</v>
      </c>
      <c r="M88" s="16">
        <v>1400</v>
      </c>
      <c r="O88" s="15"/>
      <c r="P88" s="47"/>
      <c r="Q88" s="47"/>
      <c r="R88" s="48"/>
      <c r="S88" s="48"/>
    </row>
    <row r="89" spans="1:19">
      <c r="A89" s="46" t="s">
        <v>180</v>
      </c>
      <c r="B89" s="43" t="s">
        <v>206</v>
      </c>
      <c r="C89" s="17" t="s">
        <v>189</v>
      </c>
      <c r="D89" s="39" t="s">
        <v>190</v>
      </c>
      <c r="E89" s="18">
        <v>21.0018388200846</v>
      </c>
      <c r="F89" s="18">
        <v>105.78270016925801</v>
      </c>
      <c r="G89" s="16" t="s">
        <v>180</v>
      </c>
      <c r="H89" s="19">
        <v>33000000</v>
      </c>
      <c r="I89" s="11">
        <f t="shared" si="0"/>
        <v>198000000</v>
      </c>
      <c r="J89" s="19">
        <v>180000000</v>
      </c>
      <c r="K89" s="44">
        <v>60</v>
      </c>
      <c r="L89" s="16">
        <v>1000</v>
      </c>
      <c r="M89" s="16">
        <v>700</v>
      </c>
      <c r="O89" s="15"/>
      <c r="P89" s="47"/>
      <c r="Q89" s="47"/>
      <c r="R89" s="48"/>
      <c r="S89" s="48"/>
    </row>
    <row r="90" spans="1:19">
      <c r="A90" s="46" t="s">
        <v>180</v>
      </c>
      <c r="B90" s="43" t="s">
        <v>206</v>
      </c>
      <c r="C90" s="17" t="s">
        <v>191</v>
      </c>
      <c r="D90" s="39" t="s">
        <v>192</v>
      </c>
      <c r="E90" s="18">
        <v>21.0286884862292</v>
      </c>
      <c r="F90" s="18">
        <v>105.777203025132</v>
      </c>
      <c r="G90" s="16" t="s">
        <v>180</v>
      </c>
      <c r="H90" s="19">
        <v>44000000</v>
      </c>
      <c r="I90" s="11">
        <f t="shared" si="0"/>
        <v>440000000</v>
      </c>
      <c r="J90" s="19">
        <v>150000000</v>
      </c>
      <c r="K90" s="44">
        <v>100</v>
      </c>
      <c r="L90" s="16">
        <v>1500</v>
      </c>
      <c r="M90" s="16">
        <v>1200</v>
      </c>
      <c r="O90" s="15"/>
      <c r="P90" s="47"/>
      <c r="Q90" s="47"/>
      <c r="R90" s="48"/>
      <c r="S90" s="48"/>
    </row>
    <row r="91" spans="1:19">
      <c r="A91" s="46" t="s">
        <v>180</v>
      </c>
      <c r="B91" s="43" t="s">
        <v>206</v>
      </c>
      <c r="C91" s="23" t="s">
        <v>193</v>
      </c>
      <c r="D91" s="40" t="s">
        <v>194</v>
      </c>
      <c r="E91" s="25">
        <v>21.0147179118105</v>
      </c>
      <c r="F91" s="25">
        <v>105.77780734232699</v>
      </c>
      <c r="G91" s="24" t="s">
        <v>180</v>
      </c>
      <c r="H91" s="26">
        <v>33000000</v>
      </c>
      <c r="I91" s="11">
        <f t="shared" si="0"/>
        <v>231000000</v>
      </c>
      <c r="J91" s="26">
        <v>180000000</v>
      </c>
      <c r="K91" s="44">
        <v>70</v>
      </c>
      <c r="L91" s="24">
        <v>1200</v>
      </c>
      <c r="M91" s="24">
        <v>800</v>
      </c>
      <c r="O91" s="15"/>
      <c r="P91" s="47"/>
      <c r="Q91" s="47"/>
      <c r="R91" s="48"/>
      <c r="S91" s="48"/>
    </row>
    <row r="92" spans="1:19">
      <c r="A92" s="1"/>
      <c r="B92" s="1"/>
      <c r="C92" s="41"/>
      <c r="E92" s="42"/>
      <c r="F92" s="42"/>
      <c r="H92" s="20"/>
      <c r="I92" s="20"/>
      <c r="J92" s="20"/>
      <c r="O92" s="20"/>
      <c r="P92" s="48"/>
      <c r="Q92" s="48"/>
      <c r="R92" s="48"/>
      <c r="S92" s="48"/>
    </row>
    <row r="93" spans="1:19">
      <c r="A93" s="1"/>
      <c r="B93" s="1"/>
      <c r="C93" s="41"/>
      <c r="E93" s="42"/>
      <c r="F93" s="42"/>
      <c r="H93" s="20"/>
      <c r="I93" s="20"/>
      <c r="J93" s="20"/>
      <c r="O93" s="20"/>
      <c r="P93" s="48"/>
      <c r="Q93" s="48"/>
      <c r="R93" s="48"/>
      <c r="S93" s="48"/>
    </row>
    <row r="94" spans="1:19">
      <c r="A94" s="1"/>
      <c r="B94" s="1"/>
      <c r="C94" s="41"/>
      <c r="D94" s="44"/>
      <c r="E94" s="42"/>
      <c r="F94" s="42"/>
      <c r="H94" s="20"/>
      <c r="I94" s="20"/>
      <c r="J94" s="20"/>
      <c r="O94" s="20"/>
      <c r="P94" s="48"/>
      <c r="Q94" s="48"/>
      <c r="R94" s="48"/>
      <c r="S94" s="48"/>
    </row>
    <row r="95" spans="1:19">
      <c r="A95" s="1"/>
      <c r="B95" s="1"/>
      <c r="C95" s="41"/>
      <c r="E95" s="42"/>
      <c r="F95" s="42"/>
      <c r="H95" s="20"/>
      <c r="I95" s="20"/>
      <c r="J95" s="20"/>
      <c r="O95" s="20"/>
      <c r="P95" s="48"/>
      <c r="Q95" s="48"/>
      <c r="R95" s="48"/>
      <c r="S95" s="48"/>
    </row>
    <row r="96" spans="1:19">
      <c r="A96" s="1"/>
      <c r="B96" s="1"/>
      <c r="C96" s="41"/>
      <c r="E96" s="42"/>
      <c r="F96" s="42"/>
      <c r="H96" s="20"/>
      <c r="I96" s="20"/>
      <c r="J96" s="20"/>
      <c r="O96" s="20"/>
      <c r="P96" s="48"/>
      <c r="Q96" s="48"/>
      <c r="R96" s="48"/>
      <c r="S96" s="48"/>
    </row>
    <row r="97" spans="1:19">
      <c r="A97" s="1"/>
      <c r="B97" s="1"/>
      <c r="C97" s="41"/>
      <c r="E97" s="42"/>
      <c r="F97" s="42"/>
      <c r="H97" s="20"/>
      <c r="I97" s="20"/>
      <c r="J97" s="20"/>
      <c r="O97" s="20"/>
      <c r="P97" s="48"/>
      <c r="Q97" s="48"/>
      <c r="R97" s="48"/>
      <c r="S97" s="48"/>
    </row>
    <row r="98" spans="1:19">
      <c r="A98" s="1"/>
      <c r="B98" s="1"/>
      <c r="C98" s="41"/>
      <c r="E98" s="42"/>
      <c r="F98" s="42"/>
      <c r="H98" s="20"/>
      <c r="I98" s="20"/>
      <c r="J98" s="20"/>
      <c r="O98" s="20"/>
      <c r="P98" s="48"/>
      <c r="Q98" s="48"/>
      <c r="R98" s="48"/>
      <c r="S98" s="48"/>
    </row>
    <row r="99" spans="1:19">
      <c r="A99" s="1"/>
      <c r="B99" s="1"/>
      <c r="C99" s="41"/>
      <c r="E99" s="42"/>
      <c r="F99" s="42"/>
      <c r="H99" s="20"/>
      <c r="I99" s="20"/>
      <c r="J99" s="20"/>
      <c r="O99" s="20"/>
      <c r="P99" s="48"/>
      <c r="Q99" s="48"/>
      <c r="R99" s="48"/>
      <c r="S99" s="48"/>
    </row>
    <row r="100" spans="1:19">
      <c r="A100" s="1"/>
      <c r="B100" s="1"/>
      <c r="C100" s="41"/>
      <c r="E100" s="42"/>
      <c r="F100" s="42"/>
      <c r="H100" s="20"/>
      <c r="I100" s="20"/>
      <c r="J100" s="20"/>
      <c r="O100" s="20"/>
      <c r="P100" s="48"/>
      <c r="Q100" s="48"/>
      <c r="R100" s="48"/>
      <c r="S100" s="48"/>
    </row>
    <row r="101" spans="1:19">
      <c r="A101" s="1"/>
      <c r="B101" s="1"/>
      <c r="C101" s="41"/>
      <c r="E101" s="42"/>
      <c r="F101" s="42"/>
      <c r="H101" s="20"/>
      <c r="I101" s="20"/>
      <c r="J101" s="20"/>
      <c r="O101" s="20"/>
      <c r="P101" s="48"/>
      <c r="Q101" s="48"/>
      <c r="R101" s="48"/>
      <c r="S101" s="48"/>
    </row>
    <row r="102" spans="1:19">
      <c r="A102" s="1"/>
      <c r="B102" s="1"/>
      <c r="C102" s="41"/>
      <c r="E102" s="42"/>
      <c r="F102" s="42"/>
      <c r="H102" s="20"/>
      <c r="I102" s="20"/>
      <c r="J102" s="20"/>
      <c r="O102" s="20"/>
      <c r="P102" s="48"/>
      <c r="Q102" s="48"/>
      <c r="R102" s="48"/>
      <c r="S102" s="48"/>
    </row>
    <row r="103" spans="1:19">
      <c r="A103" s="1"/>
      <c r="B103" s="1"/>
      <c r="C103" s="41"/>
      <c r="E103" s="42"/>
      <c r="F103" s="42"/>
      <c r="H103" s="20"/>
      <c r="I103" s="20"/>
      <c r="J103" s="20"/>
      <c r="O103" s="20"/>
      <c r="P103" s="48"/>
      <c r="Q103" s="48"/>
      <c r="R103" s="48"/>
      <c r="S103" s="48"/>
    </row>
    <row r="104" spans="1:19">
      <c r="A104" s="1"/>
      <c r="B104" s="1"/>
      <c r="C104" s="41"/>
      <c r="E104" s="42"/>
      <c r="F104" s="42"/>
      <c r="H104" s="20"/>
      <c r="I104" s="20"/>
      <c r="J104" s="20"/>
      <c r="O104" s="20"/>
      <c r="P104" s="48"/>
      <c r="Q104" s="48"/>
      <c r="R104" s="48"/>
      <c r="S104" s="48"/>
    </row>
    <row r="105" spans="1:19">
      <c r="A105" s="1"/>
      <c r="B105" s="1"/>
      <c r="C105" s="41"/>
      <c r="E105" s="42"/>
      <c r="F105" s="42"/>
      <c r="H105" s="20"/>
      <c r="I105" s="20"/>
      <c r="J105" s="20"/>
      <c r="O105" s="20"/>
      <c r="P105" s="48"/>
      <c r="Q105" s="48"/>
      <c r="R105" s="48"/>
      <c r="S105" s="48"/>
    </row>
    <row r="106" spans="1:19">
      <c r="A106" s="1"/>
      <c r="B106" s="1"/>
      <c r="C106" s="41"/>
      <c r="E106" s="42"/>
      <c r="F106" s="42"/>
      <c r="H106" s="20"/>
      <c r="I106" s="20"/>
      <c r="J106" s="20"/>
      <c r="O106" s="20"/>
      <c r="P106" s="48"/>
      <c r="Q106" s="48"/>
      <c r="R106" s="48"/>
      <c r="S106" s="48"/>
    </row>
    <row r="107" spans="1:19">
      <c r="A107" s="1"/>
      <c r="B107" s="1"/>
      <c r="C107" s="41"/>
      <c r="E107" s="42"/>
      <c r="F107" s="42"/>
      <c r="H107" s="20"/>
      <c r="I107" s="20"/>
      <c r="J107" s="20"/>
      <c r="O107" s="20"/>
      <c r="P107" s="48"/>
      <c r="Q107" s="48"/>
      <c r="R107" s="48"/>
      <c r="S107" s="48"/>
    </row>
    <row r="108" spans="1:19">
      <c r="A108" s="1"/>
      <c r="B108" s="1"/>
      <c r="C108" s="41"/>
      <c r="E108" s="42"/>
      <c r="F108" s="42"/>
      <c r="H108" s="20"/>
      <c r="I108" s="20"/>
      <c r="J108" s="20"/>
      <c r="O108" s="20"/>
      <c r="P108" s="48"/>
      <c r="Q108" s="48"/>
      <c r="R108" s="48"/>
      <c r="S108" s="48"/>
    </row>
    <row r="109" spans="1:19">
      <c r="A109" s="1"/>
      <c r="B109" s="1"/>
      <c r="C109" s="41"/>
      <c r="E109" s="42"/>
      <c r="F109" s="42"/>
      <c r="H109" s="20"/>
      <c r="I109" s="20"/>
      <c r="J109" s="20"/>
      <c r="O109" s="20"/>
      <c r="P109" s="48"/>
      <c r="Q109" s="48"/>
      <c r="R109" s="48"/>
      <c r="S109" s="48"/>
    </row>
    <row r="110" spans="1:19">
      <c r="A110" s="1"/>
      <c r="B110" s="1"/>
      <c r="C110" s="41"/>
      <c r="E110" s="42"/>
      <c r="F110" s="42"/>
      <c r="H110" s="20"/>
      <c r="I110" s="20"/>
      <c r="J110" s="20"/>
      <c r="O110" s="20"/>
      <c r="P110" s="48"/>
      <c r="Q110" s="48"/>
      <c r="R110" s="48"/>
      <c r="S110" s="48"/>
    </row>
    <row r="111" spans="1:19">
      <c r="A111" s="1"/>
      <c r="B111" s="1"/>
      <c r="C111" s="41"/>
      <c r="E111" s="42"/>
      <c r="F111" s="42"/>
      <c r="H111" s="20"/>
      <c r="I111" s="20"/>
      <c r="J111" s="20"/>
      <c r="O111" s="20"/>
      <c r="P111" s="48"/>
      <c r="Q111" s="48"/>
      <c r="R111" s="48"/>
      <c r="S111" s="48"/>
    </row>
    <row r="112" spans="1:19">
      <c r="A112" s="1"/>
      <c r="B112" s="1"/>
      <c r="C112" s="41"/>
      <c r="E112" s="42"/>
      <c r="F112" s="42"/>
      <c r="H112" s="20"/>
      <c r="I112" s="20"/>
      <c r="J112" s="20"/>
      <c r="O112" s="20"/>
      <c r="P112" s="48"/>
      <c r="Q112" s="48"/>
      <c r="R112" s="48"/>
      <c r="S112" s="48"/>
    </row>
    <row r="113" spans="1:19">
      <c r="A113" s="1"/>
      <c r="B113" s="1"/>
      <c r="C113" s="41"/>
      <c r="E113" s="42"/>
      <c r="F113" s="42"/>
      <c r="H113" s="20"/>
      <c r="I113" s="20"/>
      <c r="J113" s="20"/>
      <c r="O113" s="20"/>
      <c r="P113" s="48"/>
      <c r="Q113" s="48"/>
      <c r="R113" s="48"/>
      <c r="S113" s="48"/>
    </row>
    <row r="114" spans="1:19">
      <c r="A114" s="1"/>
      <c r="B114" s="1"/>
      <c r="C114" s="41"/>
      <c r="E114" s="42"/>
      <c r="F114" s="42"/>
      <c r="H114" s="20"/>
      <c r="I114" s="20"/>
      <c r="J114" s="20"/>
      <c r="O114" s="20"/>
      <c r="P114" s="48"/>
      <c r="Q114" s="48"/>
      <c r="R114" s="48"/>
      <c r="S114" s="48"/>
    </row>
    <row r="115" spans="1:19">
      <c r="A115" s="1"/>
      <c r="B115" s="1"/>
      <c r="C115" s="41"/>
      <c r="E115" s="42"/>
      <c r="F115" s="42"/>
      <c r="H115" s="20"/>
      <c r="I115" s="20"/>
      <c r="J115" s="20"/>
      <c r="O115" s="20"/>
      <c r="P115" s="48"/>
      <c r="Q115" s="48"/>
      <c r="R115" s="48"/>
      <c r="S115" s="48"/>
    </row>
    <row r="116" spans="1:19">
      <c r="A116" s="1"/>
      <c r="B116" s="1"/>
      <c r="C116" s="41"/>
      <c r="E116" s="42"/>
      <c r="F116" s="42"/>
      <c r="H116" s="20"/>
      <c r="I116" s="20"/>
      <c r="J116" s="20"/>
      <c r="O116" s="20"/>
      <c r="P116" s="48"/>
      <c r="Q116" s="48"/>
      <c r="R116" s="48"/>
      <c r="S116" s="48"/>
    </row>
    <row r="117" spans="1:19">
      <c r="A117" s="1"/>
      <c r="B117" s="1"/>
      <c r="C117" s="41"/>
      <c r="E117" s="42"/>
      <c r="F117" s="42"/>
      <c r="H117" s="20"/>
      <c r="I117" s="20"/>
      <c r="J117" s="20"/>
      <c r="O117" s="20"/>
      <c r="P117" s="48"/>
      <c r="Q117" s="48"/>
      <c r="R117" s="48"/>
      <c r="S117" s="48"/>
    </row>
    <row r="118" spans="1:19">
      <c r="A118" s="1"/>
      <c r="B118" s="1"/>
      <c r="C118" s="41"/>
      <c r="E118" s="42"/>
      <c r="F118" s="42"/>
      <c r="H118" s="20"/>
      <c r="I118" s="20"/>
      <c r="J118" s="20"/>
      <c r="O118" s="20"/>
      <c r="P118" s="48"/>
      <c r="Q118" s="48"/>
      <c r="R118" s="48"/>
      <c r="S118" s="48"/>
    </row>
    <row r="119" spans="1:19">
      <c r="A119" s="1"/>
      <c r="B119" s="1"/>
      <c r="C119" s="41"/>
      <c r="E119" s="42"/>
      <c r="F119" s="42"/>
      <c r="H119" s="20"/>
      <c r="I119" s="20"/>
      <c r="J119" s="20"/>
      <c r="O119" s="20"/>
      <c r="P119" s="48"/>
      <c r="Q119" s="48"/>
      <c r="R119" s="48"/>
      <c r="S119" s="48"/>
    </row>
    <row r="120" spans="1:19">
      <c r="A120" s="1"/>
      <c r="B120" s="1"/>
      <c r="C120" s="41"/>
      <c r="E120" s="42"/>
      <c r="F120" s="42"/>
      <c r="H120" s="20"/>
      <c r="I120" s="20"/>
      <c r="J120" s="20"/>
      <c r="O120" s="20"/>
      <c r="P120" s="48"/>
      <c r="Q120" s="48"/>
      <c r="R120" s="48"/>
      <c r="S120" s="48"/>
    </row>
    <row r="121" spans="1:19">
      <c r="A121" s="1"/>
      <c r="B121" s="1"/>
      <c r="C121" s="41"/>
      <c r="E121" s="42"/>
      <c r="F121" s="42"/>
      <c r="H121" s="20"/>
      <c r="I121" s="20"/>
      <c r="J121" s="20"/>
      <c r="O121" s="20"/>
      <c r="P121" s="48"/>
      <c r="Q121" s="48"/>
      <c r="R121" s="48"/>
      <c r="S121" s="48"/>
    </row>
    <row r="122" spans="1:19">
      <c r="A122" s="1"/>
      <c r="B122" s="1"/>
      <c r="C122" s="41"/>
      <c r="E122" s="42"/>
      <c r="F122" s="42"/>
      <c r="H122" s="20"/>
      <c r="I122" s="20"/>
      <c r="J122" s="20"/>
      <c r="O122" s="20"/>
      <c r="P122" s="48"/>
      <c r="Q122" s="48"/>
      <c r="R122" s="48"/>
      <c r="S122" s="48"/>
    </row>
    <row r="123" spans="1:19">
      <c r="A123" s="1"/>
      <c r="B123" s="1"/>
      <c r="C123" s="41"/>
      <c r="E123" s="42"/>
      <c r="F123" s="42"/>
      <c r="H123" s="20"/>
      <c r="I123" s="20"/>
      <c r="J123" s="20"/>
      <c r="O123" s="20"/>
      <c r="P123" s="48"/>
      <c r="Q123" s="48"/>
      <c r="R123" s="48"/>
      <c r="S123" s="48"/>
    </row>
    <row r="124" spans="1:19">
      <c r="A124" s="1"/>
      <c r="B124" s="1"/>
      <c r="C124" s="41"/>
      <c r="E124" s="42"/>
      <c r="F124" s="42"/>
      <c r="H124" s="20"/>
      <c r="I124" s="20"/>
      <c r="J124" s="20"/>
      <c r="O124" s="20"/>
      <c r="P124" s="48"/>
      <c r="Q124" s="48"/>
      <c r="R124" s="48"/>
      <c r="S124" s="48"/>
    </row>
    <row r="125" spans="1:19">
      <c r="A125" s="1"/>
      <c r="B125" s="1"/>
      <c r="C125" s="41"/>
      <c r="E125" s="42"/>
      <c r="F125" s="42"/>
      <c r="H125" s="20"/>
      <c r="I125" s="20"/>
      <c r="J125" s="20"/>
      <c r="O125" s="20"/>
      <c r="P125" s="48"/>
      <c r="Q125" s="48"/>
      <c r="R125" s="48"/>
      <c r="S125" s="48"/>
    </row>
    <row r="126" spans="1:19">
      <c r="A126" s="1"/>
      <c r="B126" s="1"/>
      <c r="C126" s="41"/>
      <c r="E126" s="42"/>
      <c r="F126" s="42"/>
      <c r="H126" s="20"/>
      <c r="I126" s="20"/>
      <c r="J126" s="20"/>
      <c r="O126" s="20"/>
      <c r="P126" s="48"/>
      <c r="Q126" s="48"/>
      <c r="R126" s="48"/>
      <c r="S126" s="48"/>
    </row>
    <row r="127" spans="1:19">
      <c r="A127" s="1"/>
      <c r="B127" s="1"/>
      <c r="C127" s="41"/>
      <c r="E127" s="42"/>
      <c r="F127" s="42"/>
      <c r="H127" s="20"/>
      <c r="I127" s="20"/>
      <c r="J127" s="20"/>
      <c r="O127" s="20"/>
      <c r="P127" s="48"/>
      <c r="Q127" s="48"/>
      <c r="R127" s="48"/>
      <c r="S127" s="48"/>
    </row>
    <row r="128" spans="1:19">
      <c r="A128" s="1"/>
      <c r="B128" s="1"/>
      <c r="C128" s="41"/>
      <c r="E128" s="42"/>
      <c r="F128" s="42"/>
      <c r="H128" s="20"/>
      <c r="I128" s="20"/>
      <c r="J128" s="20"/>
      <c r="O128" s="20"/>
      <c r="P128" s="48"/>
      <c r="Q128" s="48"/>
      <c r="R128" s="48"/>
      <c r="S128" s="48"/>
    </row>
    <row r="129" spans="1:19">
      <c r="A129" s="1"/>
      <c r="B129" s="1"/>
      <c r="C129" s="41"/>
      <c r="E129" s="42"/>
      <c r="F129" s="42"/>
      <c r="H129" s="20"/>
      <c r="I129" s="20"/>
      <c r="J129" s="20"/>
      <c r="O129" s="20"/>
      <c r="P129" s="48"/>
      <c r="Q129" s="48"/>
      <c r="R129" s="48"/>
      <c r="S129" s="48"/>
    </row>
    <row r="130" spans="1:19">
      <c r="A130" s="1"/>
      <c r="B130" s="1"/>
      <c r="C130" s="41"/>
      <c r="E130" s="42"/>
      <c r="F130" s="42"/>
      <c r="H130" s="20"/>
      <c r="I130" s="20"/>
      <c r="J130" s="20"/>
      <c r="O130" s="20"/>
      <c r="P130" s="48"/>
      <c r="Q130" s="48"/>
      <c r="R130" s="48"/>
      <c r="S130" s="48"/>
    </row>
    <row r="131" spans="1:19">
      <c r="A131" s="1"/>
      <c r="B131" s="1"/>
      <c r="C131" s="41"/>
      <c r="E131" s="42"/>
      <c r="F131" s="42"/>
      <c r="H131" s="20"/>
      <c r="I131" s="20"/>
      <c r="J131" s="20"/>
      <c r="O131" s="20"/>
      <c r="P131" s="48"/>
      <c r="Q131" s="48"/>
      <c r="R131" s="48"/>
      <c r="S131" s="48"/>
    </row>
    <row r="132" spans="1:19">
      <c r="A132" s="1"/>
      <c r="B132" s="1"/>
      <c r="C132" s="41"/>
      <c r="E132" s="42"/>
      <c r="F132" s="42"/>
      <c r="H132" s="20"/>
      <c r="I132" s="20"/>
      <c r="J132" s="20"/>
      <c r="O132" s="20"/>
      <c r="P132" s="48"/>
      <c r="Q132" s="48"/>
      <c r="R132" s="48"/>
      <c r="S132" s="48"/>
    </row>
    <row r="133" spans="1:19">
      <c r="A133" s="1"/>
      <c r="B133" s="1"/>
      <c r="C133" s="41"/>
      <c r="E133" s="42"/>
      <c r="F133" s="42"/>
      <c r="H133" s="20"/>
      <c r="I133" s="20"/>
      <c r="J133" s="20"/>
      <c r="O133" s="20"/>
      <c r="P133" s="48"/>
      <c r="Q133" s="48"/>
      <c r="R133" s="48"/>
      <c r="S133" s="48"/>
    </row>
    <row r="134" spans="1:19">
      <c r="A134" s="1"/>
      <c r="B134" s="1"/>
      <c r="C134" s="41"/>
      <c r="E134" s="42"/>
      <c r="F134" s="42"/>
      <c r="H134" s="20"/>
      <c r="I134" s="20"/>
      <c r="J134" s="20"/>
      <c r="O134" s="20"/>
      <c r="P134" s="48"/>
      <c r="Q134" s="48"/>
      <c r="R134" s="48"/>
      <c r="S134" s="48"/>
    </row>
    <row r="135" spans="1:19">
      <c r="A135" s="1"/>
      <c r="B135" s="1"/>
      <c r="C135" s="41"/>
      <c r="E135" s="42"/>
      <c r="F135" s="42"/>
      <c r="H135" s="20"/>
      <c r="I135" s="20"/>
      <c r="J135" s="20"/>
      <c r="O135" s="20"/>
      <c r="P135" s="48"/>
      <c r="Q135" s="48"/>
      <c r="R135" s="48"/>
      <c r="S135" s="48"/>
    </row>
    <row r="136" spans="1:19">
      <c r="A136" s="1"/>
      <c r="B136" s="1"/>
      <c r="C136" s="41"/>
      <c r="E136" s="42"/>
      <c r="F136" s="42"/>
      <c r="H136" s="20"/>
      <c r="I136" s="20"/>
      <c r="J136" s="20"/>
      <c r="O136" s="20"/>
      <c r="P136" s="48"/>
      <c r="Q136" s="48"/>
      <c r="R136" s="48"/>
      <c r="S136" s="48"/>
    </row>
    <row r="137" spans="1:19">
      <c r="A137" s="1"/>
      <c r="B137" s="1"/>
      <c r="C137" s="41"/>
      <c r="E137" s="42"/>
      <c r="F137" s="42"/>
      <c r="H137" s="20"/>
      <c r="I137" s="20"/>
      <c r="J137" s="20"/>
      <c r="O137" s="20"/>
      <c r="P137" s="48"/>
      <c r="Q137" s="48"/>
      <c r="R137" s="48"/>
      <c r="S137" s="48"/>
    </row>
    <row r="138" spans="1:19">
      <c r="A138" s="1"/>
      <c r="B138" s="1"/>
      <c r="C138" s="41"/>
      <c r="E138" s="42"/>
      <c r="F138" s="42"/>
      <c r="H138" s="20"/>
      <c r="I138" s="20"/>
      <c r="J138" s="20"/>
      <c r="O138" s="20"/>
      <c r="P138" s="48"/>
      <c r="Q138" s="48"/>
      <c r="R138" s="48"/>
      <c r="S138" s="48"/>
    </row>
    <row r="139" spans="1:19">
      <c r="A139" s="1"/>
      <c r="B139" s="1"/>
      <c r="C139" s="41"/>
      <c r="E139" s="42"/>
      <c r="F139" s="42"/>
      <c r="H139" s="20"/>
      <c r="I139" s="20"/>
      <c r="J139" s="20"/>
      <c r="O139" s="20"/>
      <c r="P139" s="48"/>
      <c r="Q139" s="48"/>
      <c r="R139" s="48"/>
      <c r="S139" s="48"/>
    </row>
    <row r="140" spans="1:19">
      <c r="A140" s="1"/>
      <c r="B140" s="1"/>
      <c r="C140" s="41"/>
      <c r="E140" s="42"/>
      <c r="F140" s="42"/>
      <c r="H140" s="20"/>
      <c r="I140" s="20"/>
      <c r="J140" s="20"/>
      <c r="O140" s="20"/>
      <c r="P140" s="48"/>
      <c r="Q140" s="48"/>
      <c r="R140" s="48"/>
      <c r="S140" s="48"/>
    </row>
    <row r="141" spans="1:19">
      <c r="A141" s="1"/>
      <c r="B141" s="1"/>
      <c r="C141" s="41"/>
      <c r="E141" s="42"/>
      <c r="F141" s="42"/>
      <c r="H141" s="20"/>
      <c r="I141" s="20"/>
      <c r="J141" s="20"/>
      <c r="O141" s="20"/>
      <c r="P141" s="48"/>
      <c r="Q141" s="48"/>
      <c r="R141" s="48"/>
      <c r="S141" s="48"/>
    </row>
    <row r="142" spans="1:19">
      <c r="A142" s="1"/>
      <c r="B142" s="1"/>
      <c r="C142" s="41"/>
      <c r="E142" s="42"/>
      <c r="F142" s="42"/>
      <c r="H142" s="20"/>
      <c r="I142" s="20"/>
      <c r="J142" s="20"/>
      <c r="O142" s="20"/>
      <c r="P142" s="48"/>
      <c r="Q142" s="48"/>
      <c r="R142" s="48"/>
      <c r="S142" s="48"/>
    </row>
    <row r="143" spans="1:19">
      <c r="A143" s="1"/>
      <c r="B143" s="1"/>
      <c r="C143" s="41"/>
      <c r="E143" s="42"/>
      <c r="F143" s="42"/>
      <c r="H143" s="20"/>
      <c r="I143" s="20"/>
      <c r="J143" s="20"/>
      <c r="O143" s="20"/>
      <c r="P143" s="48"/>
      <c r="Q143" s="48"/>
      <c r="R143" s="48"/>
      <c r="S143" s="48"/>
    </row>
    <row r="144" spans="1:19">
      <c r="A144" s="1"/>
      <c r="B144" s="1"/>
      <c r="C144" s="41"/>
      <c r="E144" s="42"/>
      <c r="F144" s="42"/>
      <c r="H144" s="20"/>
      <c r="I144" s="20"/>
      <c r="J144" s="20"/>
      <c r="O144" s="20"/>
      <c r="P144" s="48"/>
      <c r="Q144" s="48"/>
      <c r="R144" s="48"/>
      <c r="S144" s="48"/>
    </row>
    <row r="145" spans="1:19">
      <c r="A145" s="1"/>
      <c r="B145" s="1"/>
      <c r="C145" s="41"/>
      <c r="E145" s="42"/>
      <c r="F145" s="42"/>
      <c r="H145" s="20"/>
      <c r="I145" s="20"/>
      <c r="J145" s="20"/>
      <c r="O145" s="20"/>
      <c r="P145" s="48"/>
      <c r="Q145" s="48"/>
      <c r="R145" s="48"/>
      <c r="S145" s="48"/>
    </row>
    <row r="146" spans="1:19">
      <c r="A146" s="1"/>
      <c r="B146" s="1"/>
      <c r="C146" s="41"/>
      <c r="E146" s="42"/>
      <c r="F146" s="42"/>
      <c r="H146" s="20"/>
      <c r="I146" s="20"/>
      <c r="J146" s="20"/>
      <c r="O146" s="20"/>
      <c r="P146" s="48"/>
      <c r="Q146" s="48"/>
      <c r="R146" s="48"/>
      <c r="S146" s="48"/>
    </row>
    <row r="147" spans="1:19">
      <c r="A147" s="1"/>
      <c r="B147" s="1"/>
      <c r="C147" s="41"/>
      <c r="E147" s="42"/>
      <c r="F147" s="42"/>
      <c r="H147" s="20"/>
      <c r="I147" s="20"/>
      <c r="J147" s="20"/>
      <c r="O147" s="20"/>
      <c r="P147" s="48"/>
      <c r="Q147" s="48"/>
      <c r="R147" s="48"/>
      <c r="S147" s="48"/>
    </row>
    <row r="148" spans="1:19">
      <c r="A148" s="1"/>
      <c r="B148" s="1"/>
      <c r="C148" s="41"/>
      <c r="E148" s="42"/>
      <c r="F148" s="42"/>
      <c r="H148" s="20"/>
      <c r="I148" s="20"/>
      <c r="J148" s="20"/>
      <c r="O148" s="20"/>
      <c r="P148" s="48"/>
      <c r="Q148" s="48"/>
      <c r="R148" s="48"/>
      <c r="S148" s="48"/>
    </row>
    <row r="149" spans="1:19">
      <c r="A149" s="1"/>
      <c r="B149" s="1"/>
      <c r="C149" s="41"/>
      <c r="E149" s="42"/>
      <c r="F149" s="42"/>
      <c r="H149" s="20"/>
      <c r="I149" s="20"/>
      <c r="J149" s="20"/>
      <c r="O149" s="20"/>
      <c r="P149" s="48"/>
      <c r="Q149" s="48"/>
      <c r="R149" s="48"/>
      <c r="S149" s="48"/>
    </row>
    <row r="150" spans="1:19">
      <c r="A150" s="1"/>
      <c r="B150" s="1"/>
      <c r="C150" s="41"/>
      <c r="E150" s="42"/>
      <c r="F150" s="42"/>
      <c r="H150" s="20"/>
      <c r="I150" s="20"/>
      <c r="J150" s="20"/>
      <c r="O150" s="20"/>
      <c r="P150" s="48"/>
      <c r="Q150" s="48"/>
      <c r="R150" s="48"/>
      <c r="S150" s="48"/>
    </row>
    <row r="151" spans="1:19">
      <c r="A151" s="1"/>
      <c r="B151" s="1"/>
      <c r="C151" s="41"/>
      <c r="E151" s="42"/>
      <c r="F151" s="42"/>
      <c r="H151" s="20"/>
      <c r="I151" s="20"/>
      <c r="J151" s="20"/>
      <c r="O151" s="20"/>
      <c r="P151" s="48"/>
      <c r="Q151" s="48"/>
      <c r="R151" s="48"/>
      <c r="S151" s="48"/>
    </row>
    <row r="152" spans="1:19">
      <c r="A152" s="1"/>
      <c r="B152" s="1"/>
      <c r="C152" s="41"/>
      <c r="E152" s="42"/>
      <c r="F152" s="42"/>
      <c r="H152" s="20"/>
      <c r="I152" s="20"/>
      <c r="J152" s="20"/>
      <c r="O152" s="20"/>
      <c r="P152" s="48"/>
      <c r="Q152" s="48"/>
      <c r="R152" s="48"/>
      <c r="S152" s="48"/>
    </row>
    <row r="153" spans="1:19">
      <c r="A153" s="1"/>
      <c r="B153" s="1"/>
      <c r="C153" s="41"/>
      <c r="E153" s="42"/>
      <c r="F153" s="42"/>
      <c r="H153" s="20"/>
      <c r="I153" s="20"/>
      <c r="J153" s="20"/>
      <c r="O153" s="20"/>
      <c r="P153" s="48"/>
      <c r="Q153" s="48"/>
      <c r="R153" s="48"/>
      <c r="S153" s="48"/>
    </row>
    <row r="154" spans="1:19">
      <c r="A154" s="1"/>
      <c r="B154" s="1"/>
      <c r="C154" s="41"/>
      <c r="E154" s="42"/>
      <c r="F154" s="42"/>
      <c r="H154" s="20"/>
      <c r="I154" s="20"/>
      <c r="J154" s="20"/>
      <c r="O154" s="20"/>
      <c r="P154" s="48"/>
      <c r="Q154" s="48"/>
      <c r="R154" s="48"/>
      <c r="S154" s="48"/>
    </row>
    <row r="155" spans="1:19">
      <c r="A155" s="1"/>
      <c r="B155" s="1"/>
      <c r="C155" s="41"/>
      <c r="E155" s="42"/>
      <c r="F155" s="42"/>
      <c r="H155" s="20"/>
      <c r="I155" s="20"/>
      <c r="J155" s="20"/>
      <c r="O155" s="20"/>
      <c r="P155" s="48"/>
      <c r="Q155" s="48"/>
      <c r="R155" s="48"/>
      <c r="S155" s="48"/>
    </row>
    <row r="156" spans="1:19">
      <c r="A156" s="1"/>
      <c r="B156" s="1"/>
      <c r="C156" s="41"/>
      <c r="E156" s="42"/>
      <c r="F156" s="42"/>
      <c r="H156" s="20"/>
      <c r="I156" s="20"/>
      <c r="J156" s="20"/>
      <c r="O156" s="20"/>
      <c r="P156" s="48"/>
      <c r="Q156" s="48"/>
      <c r="R156" s="48"/>
      <c r="S156" s="48"/>
    </row>
    <row r="157" spans="1:19">
      <c r="A157" s="1"/>
      <c r="B157" s="1"/>
      <c r="C157" s="41"/>
      <c r="E157" s="42"/>
      <c r="F157" s="42"/>
      <c r="H157" s="20"/>
      <c r="I157" s="20"/>
      <c r="J157" s="20"/>
      <c r="O157" s="20"/>
      <c r="P157" s="48"/>
      <c r="Q157" s="48"/>
      <c r="R157" s="48"/>
      <c r="S157" s="48"/>
    </row>
    <row r="158" spans="1:19">
      <c r="A158" s="1"/>
      <c r="B158" s="1"/>
      <c r="C158" s="41"/>
      <c r="E158" s="42"/>
      <c r="F158" s="42"/>
      <c r="H158" s="20"/>
      <c r="I158" s="20"/>
      <c r="J158" s="20"/>
      <c r="O158" s="20"/>
      <c r="P158" s="48"/>
      <c r="Q158" s="48"/>
      <c r="R158" s="48"/>
      <c r="S158" s="48"/>
    </row>
    <row r="159" spans="1:19">
      <c r="A159" s="1"/>
      <c r="B159" s="1"/>
      <c r="C159" s="41"/>
      <c r="E159" s="42"/>
      <c r="F159" s="42"/>
      <c r="H159" s="20"/>
      <c r="I159" s="20"/>
      <c r="J159" s="20"/>
      <c r="O159" s="20"/>
      <c r="P159" s="48"/>
      <c r="Q159" s="48"/>
      <c r="R159" s="48"/>
      <c r="S159" s="48"/>
    </row>
    <row r="160" spans="1:19">
      <c r="A160" s="1"/>
      <c r="B160" s="1"/>
      <c r="C160" s="41"/>
      <c r="E160" s="42"/>
      <c r="F160" s="42"/>
      <c r="H160" s="20"/>
      <c r="I160" s="20"/>
      <c r="J160" s="20"/>
      <c r="O160" s="20"/>
      <c r="P160" s="48"/>
      <c r="Q160" s="48"/>
      <c r="R160" s="48"/>
      <c r="S160" s="48"/>
    </row>
    <row r="161" spans="1:19">
      <c r="A161" s="1"/>
      <c r="B161" s="1"/>
      <c r="C161" s="41"/>
      <c r="E161" s="42"/>
      <c r="F161" s="42"/>
      <c r="H161" s="20"/>
      <c r="I161" s="20"/>
      <c r="J161" s="20"/>
      <c r="O161" s="20"/>
      <c r="P161" s="48"/>
      <c r="Q161" s="48"/>
      <c r="R161" s="48"/>
      <c r="S161" s="48"/>
    </row>
    <row r="162" spans="1:19">
      <c r="A162" s="1"/>
      <c r="B162" s="1"/>
      <c r="C162" s="41"/>
      <c r="E162" s="42"/>
      <c r="F162" s="42"/>
      <c r="H162" s="20"/>
      <c r="I162" s="20"/>
      <c r="J162" s="20"/>
      <c r="O162" s="20"/>
      <c r="P162" s="48"/>
      <c r="Q162" s="48"/>
      <c r="R162" s="48"/>
      <c r="S162" s="48"/>
    </row>
    <row r="163" spans="1:19">
      <c r="A163" s="1"/>
      <c r="B163" s="1"/>
      <c r="C163" s="41"/>
      <c r="E163" s="42"/>
      <c r="F163" s="42"/>
      <c r="H163" s="20"/>
      <c r="I163" s="20"/>
      <c r="J163" s="20"/>
      <c r="O163" s="20"/>
      <c r="P163" s="48"/>
      <c r="Q163" s="48"/>
      <c r="R163" s="48"/>
      <c r="S163" s="48"/>
    </row>
    <row r="164" spans="1:19">
      <c r="A164" s="1"/>
      <c r="B164" s="1"/>
      <c r="C164" s="41"/>
      <c r="E164" s="42"/>
      <c r="F164" s="42"/>
      <c r="H164" s="20"/>
      <c r="I164" s="20"/>
      <c r="J164" s="20"/>
      <c r="O164" s="20"/>
      <c r="P164" s="48"/>
      <c r="Q164" s="48"/>
      <c r="R164" s="48"/>
      <c r="S164" s="48"/>
    </row>
    <row r="165" spans="1:19">
      <c r="A165" s="1"/>
      <c r="B165" s="1"/>
      <c r="C165" s="41"/>
      <c r="E165" s="42"/>
      <c r="F165" s="42"/>
      <c r="H165" s="20"/>
      <c r="I165" s="20"/>
      <c r="J165" s="20"/>
      <c r="O165" s="20"/>
      <c r="P165" s="48"/>
      <c r="Q165" s="48"/>
      <c r="R165" s="48"/>
      <c r="S165" s="48"/>
    </row>
    <row r="166" spans="1:19">
      <c r="A166" s="1"/>
      <c r="B166" s="1"/>
      <c r="C166" s="41"/>
      <c r="E166" s="42"/>
      <c r="F166" s="42"/>
      <c r="H166" s="20"/>
      <c r="I166" s="20"/>
      <c r="J166" s="20"/>
      <c r="O166" s="20"/>
      <c r="P166" s="48"/>
      <c r="Q166" s="48"/>
      <c r="R166" s="48"/>
      <c r="S166" s="48"/>
    </row>
    <row r="167" spans="1:19">
      <c r="A167" s="1"/>
      <c r="B167" s="1"/>
      <c r="C167" s="41"/>
      <c r="E167" s="42"/>
      <c r="F167" s="42"/>
      <c r="H167" s="20"/>
      <c r="I167" s="20"/>
      <c r="J167" s="20"/>
      <c r="O167" s="20"/>
      <c r="P167" s="48"/>
      <c r="Q167" s="48"/>
      <c r="R167" s="48"/>
      <c r="S167" s="48"/>
    </row>
    <row r="168" spans="1:19">
      <c r="A168" s="1"/>
      <c r="B168" s="1"/>
      <c r="C168" s="41"/>
      <c r="E168" s="42"/>
      <c r="F168" s="42"/>
      <c r="H168" s="20"/>
      <c r="I168" s="20"/>
      <c r="J168" s="20"/>
      <c r="O168" s="20"/>
      <c r="P168" s="48"/>
      <c r="Q168" s="48"/>
      <c r="R168" s="48"/>
      <c r="S168" s="48"/>
    </row>
    <row r="169" spans="1:19">
      <c r="A169" s="1"/>
      <c r="B169" s="1"/>
      <c r="C169" s="41"/>
      <c r="E169" s="42"/>
      <c r="F169" s="42"/>
      <c r="H169" s="20"/>
      <c r="I169" s="20"/>
      <c r="J169" s="20"/>
      <c r="O169" s="20"/>
      <c r="P169" s="48"/>
      <c r="Q169" s="48"/>
      <c r="R169" s="48"/>
      <c r="S169" s="48"/>
    </row>
    <row r="170" spans="1:19">
      <c r="A170" s="1"/>
      <c r="B170" s="1"/>
      <c r="C170" s="41"/>
      <c r="E170" s="42"/>
      <c r="F170" s="42"/>
      <c r="H170" s="20"/>
      <c r="I170" s="20"/>
      <c r="J170" s="20"/>
      <c r="O170" s="20"/>
      <c r="P170" s="48"/>
      <c r="Q170" s="48"/>
      <c r="R170" s="48"/>
      <c r="S170" s="48"/>
    </row>
    <row r="171" spans="1:19">
      <c r="A171" s="1"/>
      <c r="B171" s="1"/>
      <c r="C171" s="41"/>
      <c r="E171" s="42"/>
      <c r="F171" s="42"/>
      <c r="H171" s="20"/>
      <c r="I171" s="20"/>
      <c r="J171" s="20"/>
      <c r="O171" s="20"/>
      <c r="P171" s="48"/>
      <c r="Q171" s="48"/>
      <c r="R171" s="48"/>
      <c r="S171" s="48"/>
    </row>
    <row r="172" spans="1:19">
      <c r="A172" s="1"/>
      <c r="B172" s="1"/>
      <c r="C172" s="41"/>
      <c r="E172" s="42"/>
      <c r="F172" s="42"/>
      <c r="H172" s="20"/>
      <c r="I172" s="20"/>
      <c r="J172" s="20"/>
      <c r="O172" s="20"/>
    </row>
    <row r="173" spans="1:19">
      <c r="A173" s="1"/>
      <c r="B173" s="1"/>
      <c r="C173" s="41"/>
      <c r="E173" s="42"/>
      <c r="F173" s="42"/>
      <c r="H173" s="20"/>
      <c r="I173" s="20"/>
      <c r="J173" s="20"/>
      <c r="O173" s="20"/>
    </row>
    <row r="174" spans="1:19">
      <c r="A174" s="1"/>
      <c r="B174" s="1"/>
      <c r="C174" s="41"/>
      <c r="E174" s="42"/>
      <c r="F174" s="42"/>
      <c r="H174" s="20"/>
      <c r="I174" s="20"/>
      <c r="J174" s="20"/>
      <c r="O174" s="20"/>
    </row>
    <row r="175" spans="1:19">
      <c r="A175" s="1"/>
      <c r="B175" s="1"/>
      <c r="C175" s="41"/>
      <c r="E175" s="42"/>
      <c r="F175" s="42"/>
      <c r="H175" s="20"/>
      <c r="I175" s="20"/>
      <c r="J175" s="20"/>
      <c r="O175" s="20"/>
    </row>
    <row r="176" spans="1:19">
      <c r="A176" s="1"/>
      <c r="B176" s="1"/>
      <c r="C176" s="41"/>
      <c r="E176" s="42"/>
      <c r="F176" s="42"/>
      <c r="H176" s="20"/>
      <c r="I176" s="20"/>
      <c r="J176" s="20"/>
      <c r="O176" s="20"/>
    </row>
    <row r="177" spans="1:15">
      <c r="A177" s="1"/>
      <c r="B177" s="1"/>
      <c r="C177" s="41"/>
      <c r="E177" s="42"/>
      <c r="F177" s="42"/>
      <c r="H177" s="20"/>
      <c r="I177" s="20"/>
      <c r="J177" s="20"/>
      <c r="O177" s="20"/>
    </row>
    <row r="178" spans="1:15">
      <c r="A178" s="1"/>
      <c r="B178" s="1"/>
      <c r="C178" s="41"/>
      <c r="E178" s="42"/>
      <c r="F178" s="42"/>
      <c r="H178" s="20"/>
      <c r="I178" s="20"/>
      <c r="J178" s="20"/>
      <c r="O178" s="20"/>
    </row>
    <row r="179" spans="1:15">
      <c r="A179" s="1"/>
      <c r="B179" s="1"/>
      <c r="C179" s="41"/>
      <c r="E179" s="42"/>
      <c r="F179" s="42"/>
      <c r="H179" s="20"/>
      <c r="I179" s="20"/>
      <c r="J179" s="20"/>
      <c r="O179" s="20"/>
    </row>
    <row r="180" spans="1:15">
      <c r="A180" s="1"/>
      <c r="B180" s="1"/>
      <c r="C180" s="41"/>
      <c r="E180" s="42"/>
      <c r="F180" s="42"/>
      <c r="H180" s="20"/>
      <c r="I180" s="20"/>
      <c r="J180" s="20"/>
      <c r="O180" s="20"/>
    </row>
    <row r="181" spans="1:15">
      <c r="A181" s="1"/>
      <c r="B181" s="1"/>
      <c r="C181" s="41"/>
      <c r="E181" s="42"/>
      <c r="F181" s="42"/>
      <c r="H181" s="20"/>
      <c r="I181" s="20"/>
      <c r="J181" s="20"/>
      <c r="O181" s="20"/>
    </row>
    <row r="182" spans="1:15">
      <c r="A182" s="1"/>
      <c r="B182" s="1"/>
      <c r="C182" s="41"/>
      <c r="E182" s="42"/>
      <c r="F182" s="42"/>
      <c r="H182" s="20"/>
      <c r="I182" s="20"/>
      <c r="J182" s="20"/>
      <c r="O182" s="20"/>
    </row>
    <row r="183" spans="1:15">
      <c r="A183" s="1"/>
      <c r="B183" s="1"/>
      <c r="C183" s="41"/>
      <c r="E183" s="42"/>
      <c r="F183" s="42"/>
      <c r="H183" s="20"/>
      <c r="I183" s="20"/>
      <c r="J183" s="20"/>
      <c r="O183" s="20"/>
    </row>
    <row r="184" spans="1:15">
      <c r="A184" s="1"/>
      <c r="B184" s="1"/>
      <c r="C184" s="41"/>
      <c r="E184" s="42"/>
      <c r="F184" s="42"/>
      <c r="H184" s="20"/>
      <c r="I184" s="20"/>
      <c r="J184" s="20"/>
      <c r="O184" s="20"/>
    </row>
    <row r="185" spans="1:15">
      <c r="A185" s="1"/>
      <c r="B185" s="1"/>
      <c r="C185" s="41"/>
      <c r="E185" s="42"/>
      <c r="F185" s="42"/>
      <c r="H185" s="20"/>
      <c r="I185" s="20"/>
      <c r="J185" s="20"/>
      <c r="O185" s="20"/>
    </row>
    <row r="186" spans="1:15">
      <c r="A186" s="1"/>
      <c r="B186" s="1"/>
      <c r="C186" s="41"/>
      <c r="E186" s="42"/>
      <c r="F186" s="42"/>
      <c r="H186" s="20"/>
      <c r="I186" s="20"/>
      <c r="J186" s="20"/>
      <c r="O186" s="20"/>
    </row>
    <row r="187" spans="1:15">
      <c r="A187" s="1"/>
      <c r="B187" s="1"/>
      <c r="C187" s="41"/>
      <c r="E187" s="42"/>
      <c r="F187" s="42"/>
      <c r="H187" s="20"/>
      <c r="I187" s="20"/>
      <c r="J187" s="20"/>
      <c r="O187" s="20"/>
    </row>
    <row r="188" spans="1:15">
      <c r="A188" s="1"/>
      <c r="B188" s="1"/>
      <c r="C188" s="41"/>
      <c r="E188" s="42"/>
      <c r="F188" s="42"/>
      <c r="H188" s="20"/>
      <c r="I188" s="20"/>
      <c r="J188" s="20"/>
      <c r="O188" s="20"/>
    </row>
    <row r="189" spans="1:15">
      <c r="A189" s="1"/>
      <c r="B189" s="1"/>
      <c r="C189" s="41"/>
      <c r="E189" s="42"/>
      <c r="F189" s="42"/>
      <c r="H189" s="20"/>
      <c r="I189" s="20"/>
      <c r="J189" s="20"/>
      <c r="O189" s="20"/>
    </row>
    <row r="190" spans="1:15">
      <c r="A190" s="1"/>
      <c r="B190" s="1"/>
      <c r="C190" s="41"/>
      <c r="E190" s="42"/>
      <c r="F190" s="42"/>
      <c r="H190" s="20"/>
      <c r="I190" s="20"/>
      <c r="J190" s="20"/>
      <c r="O190" s="20"/>
    </row>
    <row r="191" spans="1:15">
      <c r="A191" s="1"/>
      <c r="B191" s="1"/>
      <c r="C191" s="41"/>
      <c r="E191" s="42"/>
      <c r="F191" s="42"/>
      <c r="H191" s="20"/>
      <c r="I191" s="20"/>
      <c r="J191" s="20"/>
      <c r="O191" s="20"/>
    </row>
    <row r="192" spans="1:15">
      <c r="A192" s="1"/>
      <c r="B192" s="1"/>
      <c r="C192" s="41"/>
      <c r="E192" s="42"/>
      <c r="F192" s="42"/>
      <c r="H192" s="20"/>
      <c r="I192" s="20"/>
      <c r="J192" s="20"/>
      <c r="O192" s="20"/>
    </row>
    <row r="193" spans="1:15">
      <c r="A193" s="1"/>
      <c r="B193" s="1"/>
      <c r="C193" s="41"/>
      <c r="E193" s="42"/>
      <c r="F193" s="42"/>
      <c r="H193" s="20"/>
      <c r="I193" s="20"/>
      <c r="J193" s="20"/>
      <c r="O193" s="20"/>
    </row>
    <row r="194" spans="1:15">
      <c r="A194" s="1"/>
      <c r="B194" s="1"/>
      <c r="C194" s="41"/>
      <c r="E194" s="42"/>
      <c r="F194" s="42"/>
      <c r="H194" s="20"/>
      <c r="I194" s="20"/>
      <c r="J194" s="20"/>
      <c r="O194" s="20"/>
    </row>
    <row r="195" spans="1:15">
      <c r="A195" s="1"/>
      <c r="B195" s="1"/>
      <c r="C195" s="41"/>
      <c r="E195" s="42"/>
      <c r="F195" s="42"/>
      <c r="H195" s="20"/>
      <c r="I195" s="20"/>
      <c r="J195" s="20"/>
      <c r="O195" s="20"/>
    </row>
    <row r="196" spans="1:15">
      <c r="A196" s="1"/>
      <c r="B196" s="1"/>
      <c r="C196" s="41"/>
      <c r="E196" s="42"/>
      <c r="F196" s="42"/>
      <c r="H196" s="20"/>
      <c r="I196" s="20"/>
      <c r="J196" s="20"/>
      <c r="O196" s="20"/>
    </row>
    <row r="197" spans="1:15">
      <c r="A197" s="1"/>
      <c r="B197" s="1"/>
      <c r="C197" s="41"/>
      <c r="E197" s="42"/>
      <c r="F197" s="42"/>
      <c r="H197" s="20"/>
      <c r="I197" s="20"/>
      <c r="J197" s="20"/>
      <c r="O197" s="20"/>
    </row>
    <row r="198" spans="1:15">
      <c r="A198" s="1"/>
      <c r="B198" s="1"/>
      <c r="C198" s="41"/>
      <c r="E198" s="42"/>
      <c r="F198" s="42"/>
      <c r="H198" s="20"/>
      <c r="I198" s="20"/>
      <c r="J198" s="20"/>
      <c r="O198" s="20"/>
    </row>
    <row r="199" spans="1:15">
      <c r="A199" s="1"/>
      <c r="B199" s="1"/>
      <c r="C199" s="41"/>
      <c r="E199" s="42"/>
      <c r="F199" s="42"/>
      <c r="H199" s="20"/>
      <c r="I199" s="20"/>
      <c r="J199" s="20"/>
      <c r="O199" s="20"/>
    </row>
    <row r="200" spans="1:15">
      <c r="A200" s="1"/>
      <c r="B200" s="1"/>
      <c r="C200" s="41"/>
      <c r="E200" s="42"/>
      <c r="F200" s="42"/>
      <c r="H200" s="20"/>
      <c r="I200" s="20"/>
      <c r="J200" s="20"/>
      <c r="O200" s="20"/>
    </row>
    <row r="201" spans="1:15">
      <c r="A201" s="1"/>
      <c r="B201" s="1"/>
      <c r="C201" s="41"/>
      <c r="E201" s="42"/>
      <c r="F201" s="42"/>
      <c r="H201" s="20"/>
      <c r="I201" s="20"/>
      <c r="J201" s="20"/>
      <c r="O201" s="20"/>
    </row>
    <row r="202" spans="1:15">
      <c r="A202" s="1"/>
      <c r="B202" s="1"/>
      <c r="C202" s="41"/>
      <c r="E202" s="42"/>
      <c r="F202" s="42"/>
      <c r="H202" s="20"/>
      <c r="I202" s="20"/>
      <c r="J202" s="20"/>
      <c r="O202" s="20"/>
    </row>
    <row r="203" spans="1:15">
      <c r="A203" s="1"/>
      <c r="B203" s="1"/>
      <c r="C203" s="41"/>
      <c r="E203" s="42"/>
      <c r="F203" s="42"/>
      <c r="H203" s="20"/>
      <c r="I203" s="20"/>
      <c r="J203" s="20"/>
      <c r="O203" s="20"/>
    </row>
    <row r="204" spans="1:15">
      <c r="A204" s="1"/>
      <c r="B204" s="1"/>
      <c r="C204" s="41"/>
      <c r="E204" s="42"/>
      <c r="F204" s="42"/>
      <c r="H204" s="20"/>
      <c r="I204" s="20"/>
      <c r="J204" s="20"/>
      <c r="O204" s="20"/>
    </row>
    <row r="205" spans="1:15">
      <c r="A205" s="1"/>
      <c r="B205" s="1"/>
      <c r="C205" s="41"/>
      <c r="E205" s="42"/>
      <c r="F205" s="42"/>
      <c r="H205" s="20"/>
      <c r="I205" s="20"/>
      <c r="J205" s="20"/>
      <c r="O205" s="20"/>
    </row>
    <row r="206" spans="1:15">
      <c r="A206" s="1"/>
      <c r="B206" s="1"/>
      <c r="C206" s="41"/>
      <c r="E206" s="42"/>
      <c r="F206" s="42"/>
      <c r="H206" s="20"/>
      <c r="I206" s="20"/>
      <c r="J206" s="20"/>
      <c r="O206" s="20"/>
    </row>
    <row r="207" spans="1:15">
      <c r="A207" s="1"/>
      <c r="B207" s="1"/>
      <c r="C207" s="41"/>
      <c r="E207" s="42"/>
      <c r="F207" s="42"/>
      <c r="H207" s="20"/>
      <c r="I207" s="20"/>
      <c r="J207" s="20"/>
      <c r="O207" s="20"/>
    </row>
    <row r="208" spans="1:15">
      <c r="A208" s="1"/>
      <c r="B208" s="1"/>
      <c r="C208" s="41"/>
      <c r="E208" s="42"/>
      <c r="F208" s="42"/>
      <c r="H208" s="20"/>
      <c r="I208" s="20"/>
      <c r="J208" s="20"/>
      <c r="O208" s="20"/>
    </row>
    <row r="209" spans="1:15">
      <c r="A209" s="1"/>
      <c r="B209" s="1"/>
      <c r="C209" s="41"/>
      <c r="E209" s="42"/>
      <c r="F209" s="42"/>
      <c r="H209" s="20"/>
      <c r="I209" s="20"/>
      <c r="J209" s="20"/>
      <c r="O209" s="20"/>
    </row>
    <row r="210" spans="1:15">
      <c r="A210" s="1"/>
      <c r="B210" s="1"/>
      <c r="C210" s="41"/>
      <c r="E210" s="42"/>
      <c r="F210" s="42"/>
      <c r="H210" s="20"/>
      <c r="I210" s="20"/>
      <c r="J210" s="20"/>
      <c r="O210" s="20"/>
    </row>
    <row r="211" spans="1:15">
      <c r="A211" s="1"/>
      <c r="B211" s="1"/>
      <c r="C211" s="41"/>
      <c r="E211" s="42"/>
      <c r="F211" s="42"/>
      <c r="H211" s="20"/>
      <c r="I211" s="20"/>
      <c r="J211" s="20"/>
      <c r="O211" s="20"/>
    </row>
    <row r="212" spans="1:15">
      <c r="A212" s="1"/>
      <c r="B212" s="1"/>
      <c r="C212" s="41"/>
      <c r="E212" s="42"/>
      <c r="F212" s="42"/>
      <c r="H212" s="20"/>
      <c r="I212" s="20"/>
      <c r="J212" s="20"/>
      <c r="O212" s="20"/>
    </row>
    <row r="213" spans="1:15">
      <c r="A213" s="1"/>
      <c r="B213" s="1"/>
      <c r="C213" s="41"/>
      <c r="E213" s="42"/>
      <c r="F213" s="42"/>
      <c r="H213" s="20"/>
      <c r="I213" s="20"/>
      <c r="J213" s="20"/>
      <c r="O213" s="20"/>
    </row>
    <row r="214" spans="1:15">
      <c r="A214" s="1"/>
      <c r="B214" s="1"/>
      <c r="C214" s="41"/>
      <c r="E214" s="42"/>
      <c r="F214" s="42"/>
      <c r="H214" s="20"/>
      <c r="I214" s="20"/>
      <c r="J214" s="20"/>
      <c r="O214" s="20"/>
    </row>
    <row r="215" spans="1:15">
      <c r="A215" s="1"/>
      <c r="B215" s="1"/>
      <c r="C215" s="41"/>
      <c r="E215" s="42"/>
      <c r="F215" s="42"/>
      <c r="H215" s="20"/>
      <c r="I215" s="20"/>
      <c r="J215" s="20"/>
      <c r="O215" s="20"/>
    </row>
    <row r="216" spans="1:15">
      <c r="A216" s="1"/>
      <c r="B216" s="1"/>
      <c r="C216" s="41"/>
      <c r="E216" s="42"/>
      <c r="F216" s="42"/>
      <c r="H216" s="20"/>
      <c r="I216" s="20"/>
      <c r="J216" s="20"/>
      <c r="O216" s="20"/>
    </row>
    <row r="217" spans="1:15">
      <c r="A217" s="1"/>
      <c r="B217" s="1"/>
      <c r="C217" s="41"/>
      <c r="E217" s="42"/>
      <c r="F217" s="42"/>
      <c r="H217" s="20"/>
      <c r="I217" s="20"/>
      <c r="J217" s="20"/>
      <c r="O217" s="20"/>
    </row>
    <row r="218" spans="1:15">
      <c r="A218" s="1"/>
      <c r="B218" s="1"/>
      <c r="C218" s="41"/>
      <c r="E218" s="42"/>
      <c r="F218" s="42"/>
      <c r="H218" s="20"/>
      <c r="I218" s="20"/>
      <c r="J218" s="20"/>
      <c r="O218" s="20"/>
    </row>
    <row r="219" spans="1:15">
      <c r="A219" s="1"/>
      <c r="B219" s="1"/>
      <c r="C219" s="41"/>
      <c r="E219" s="42"/>
      <c r="F219" s="42"/>
      <c r="H219" s="20"/>
      <c r="I219" s="20"/>
      <c r="J219" s="20"/>
      <c r="O219" s="20"/>
    </row>
    <row r="220" spans="1:15">
      <c r="A220" s="1"/>
      <c r="B220" s="1"/>
      <c r="C220" s="41"/>
      <c r="E220" s="42"/>
      <c r="F220" s="42"/>
      <c r="H220" s="20"/>
      <c r="I220" s="20"/>
      <c r="J220" s="20"/>
      <c r="O220" s="20"/>
    </row>
    <row r="221" spans="1:15">
      <c r="A221" s="1"/>
      <c r="B221" s="1"/>
      <c r="C221" s="41"/>
      <c r="E221" s="42"/>
      <c r="F221" s="42"/>
      <c r="H221" s="20"/>
      <c r="I221" s="20"/>
      <c r="J221" s="20"/>
      <c r="O221" s="20"/>
    </row>
    <row r="222" spans="1:15">
      <c r="A222" s="1"/>
      <c r="B222" s="1"/>
      <c r="C222" s="41"/>
      <c r="E222" s="42"/>
      <c r="F222" s="42"/>
      <c r="H222" s="20"/>
      <c r="I222" s="20"/>
      <c r="J222" s="20"/>
      <c r="O222" s="20"/>
    </row>
    <row r="223" spans="1:15">
      <c r="A223" s="1"/>
      <c r="B223" s="1"/>
      <c r="C223" s="41"/>
      <c r="E223" s="42"/>
      <c r="F223" s="42"/>
      <c r="H223" s="20"/>
      <c r="I223" s="20"/>
      <c r="J223" s="20"/>
      <c r="O223" s="20"/>
    </row>
    <row r="224" spans="1:15">
      <c r="A224" s="1"/>
      <c r="B224" s="1"/>
      <c r="C224" s="41"/>
      <c r="E224" s="42"/>
      <c r="F224" s="42"/>
      <c r="H224" s="20"/>
      <c r="I224" s="20"/>
      <c r="J224" s="20"/>
      <c r="O224" s="20"/>
    </row>
    <row r="225" spans="1:15">
      <c r="A225" s="1"/>
      <c r="B225" s="1"/>
      <c r="C225" s="41"/>
      <c r="E225" s="42"/>
      <c r="F225" s="42"/>
      <c r="H225" s="20"/>
      <c r="I225" s="20"/>
      <c r="J225" s="20"/>
      <c r="O225" s="20"/>
    </row>
    <row r="226" spans="1:15">
      <c r="A226" s="1"/>
      <c r="B226" s="1"/>
      <c r="C226" s="41"/>
      <c r="E226" s="42"/>
      <c r="F226" s="42"/>
      <c r="H226" s="20"/>
      <c r="I226" s="20"/>
      <c r="J226" s="20"/>
      <c r="O226" s="20"/>
    </row>
    <row r="227" spans="1:15">
      <c r="A227" s="1"/>
      <c r="B227" s="1"/>
      <c r="C227" s="41"/>
      <c r="E227" s="42"/>
      <c r="F227" s="42"/>
      <c r="H227" s="20"/>
      <c r="I227" s="20"/>
      <c r="J227" s="20"/>
      <c r="O227" s="20"/>
    </row>
    <row r="228" spans="1:15">
      <c r="A228" s="1"/>
      <c r="B228" s="1"/>
      <c r="C228" s="41"/>
      <c r="E228" s="42"/>
      <c r="F228" s="42"/>
      <c r="H228" s="20"/>
      <c r="I228" s="20"/>
      <c r="J228" s="20"/>
      <c r="O228" s="20"/>
    </row>
    <row r="229" spans="1:15">
      <c r="A229" s="1"/>
      <c r="B229" s="1"/>
      <c r="C229" s="41"/>
      <c r="E229" s="42"/>
      <c r="F229" s="42"/>
      <c r="H229" s="20"/>
      <c r="I229" s="20"/>
      <c r="J229" s="20"/>
      <c r="O229" s="20"/>
    </row>
    <row r="230" spans="1:15">
      <c r="A230" s="1"/>
      <c r="B230" s="1"/>
      <c r="C230" s="41"/>
      <c r="E230" s="42"/>
      <c r="F230" s="42"/>
      <c r="H230" s="20"/>
      <c r="I230" s="20"/>
      <c r="J230" s="20"/>
      <c r="O230" s="20"/>
    </row>
    <row r="231" spans="1:15">
      <c r="A231" s="1"/>
      <c r="B231" s="1"/>
      <c r="C231" s="41"/>
      <c r="E231" s="42"/>
      <c r="F231" s="42"/>
      <c r="H231" s="20"/>
      <c r="I231" s="20"/>
      <c r="J231" s="20"/>
      <c r="O231" s="20"/>
    </row>
    <row r="232" spans="1:15">
      <c r="A232" s="1"/>
      <c r="B232" s="1"/>
      <c r="C232" s="41"/>
      <c r="E232" s="42"/>
      <c r="F232" s="42"/>
      <c r="H232" s="20"/>
      <c r="I232" s="20"/>
      <c r="J232" s="20"/>
      <c r="O232" s="20"/>
    </row>
    <row r="233" spans="1:15">
      <c r="A233" s="1"/>
      <c r="B233" s="1"/>
      <c r="C233" s="41"/>
      <c r="E233" s="42"/>
      <c r="F233" s="42"/>
      <c r="H233" s="20"/>
      <c r="I233" s="20"/>
      <c r="J233" s="20"/>
      <c r="O233" s="20"/>
    </row>
    <row r="234" spans="1:15">
      <c r="A234" s="1"/>
      <c r="B234" s="1"/>
      <c r="C234" s="41"/>
      <c r="E234" s="42"/>
      <c r="F234" s="42"/>
      <c r="H234" s="20"/>
      <c r="I234" s="20"/>
      <c r="J234" s="20"/>
      <c r="O234" s="20"/>
    </row>
    <row r="235" spans="1:15">
      <c r="A235" s="1"/>
      <c r="B235" s="1"/>
      <c r="C235" s="41"/>
      <c r="E235" s="42"/>
      <c r="F235" s="42"/>
      <c r="H235" s="20"/>
      <c r="I235" s="20"/>
      <c r="J235" s="20"/>
      <c r="O235" s="20"/>
    </row>
    <row r="236" spans="1:15">
      <c r="A236" s="1"/>
      <c r="B236" s="1"/>
      <c r="C236" s="41"/>
      <c r="E236" s="42"/>
      <c r="F236" s="42"/>
      <c r="H236" s="20"/>
      <c r="I236" s="20"/>
      <c r="J236" s="20"/>
      <c r="O236" s="20"/>
    </row>
    <row r="237" spans="1:15">
      <c r="A237" s="1"/>
      <c r="B237" s="1"/>
      <c r="C237" s="41"/>
      <c r="E237" s="42"/>
      <c r="F237" s="42"/>
      <c r="H237" s="20"/>
      <c r="I237" s="20"/>
      <c r="J237" s="20"/>
      <c r="O237" s="20"/>
    </row>
    <row r="238" spans="1:15">
      <c r="A238" s="1"/>
      <c r="B238" s="1"/>
      <c r="C238" s="41"/>
      <c r="E238" s="42"/>
      <c r="F238" s="42"/>
      <c r="H238" s="20"/>
      <c r="I238" s="20"/>
      <c r="J238" s="20"/>
      <c r="O238" s="20"/>
    </row>
    <row r="239" spans="1:15">
      <c r="A239" s="1"/>
      <c r="B239" s="1"/>
      <c r="C239" s="41"/>
      <c r="E239" s="42"/>
      <c r="F239" s="42"/>
      <c r="H239" s="20"/>
      <c r="I239" s="20"/>
      <c r="J239" s="20"/>
      <c r="O239" s="20"/>
    </row>
    <row r="240" spans="1:15">
      <c r="A240" s="1"/>
      <c r="B240" s="1"/>
      <c r="C240" s="41"/>
      <c r="E240" s="42"/>
      <c r="F240" s="42"/>
      <c r="H240" s="20"/>
      <c r="I240" s="20"/>
      <c r="J240" s="20"/>
      <c r="O240" s="20"/>
    </row>
    <row r="241" spans="1:15">
      <c r="A241" s="1"/>
      <c r="B241" s="1"/>
      <c r="C241" s="41"/>
      <c r="E241" s="42"/>
      <c r="F241" s="42"/>
      <c r="H241" s="20"/>
      <c r="I241" s="20"/>
      <c r="J241" s="20"/>
      <c r="O241" s="20"/>
    </row>
    <row r="242" spans="1:15">
      <c r="A242" s="1"/>
      <c r="B242" s="1"/>
      <c r="C242" s="41"/>
      <c r="E242" s="42"/>
      <c r="F242" s="42"/>
      <c r="H242" s="20"/>
      <c r="I242" s="20"/>
      <c r="J242" s="20"/>
      <c r="O242" s="20"/>
    </row>
    <row r="243" spans="1:15">
      <c r="A243" s="1"/>
      <c r="B243" s="1"/>
      <c r="C243" s="41"/>
      <c r="E243" s="42"/>
      <c r="F243" s="42"/>
      <c r="H243" s="20"/>
      <c r="I243" s="20"/>
      <c r="J243" s="20"/>
      <c r="O243" s="20"/>
    </row>
    <row r="244" spans="1:15">
      <c r="A244" s="1"/>
      <c r="B244" s="1"/>
      <c r="C244" s="41"/>
      <c r="E244" s="42"/>
      <c r="F244" s="42"/>
      <c r="H244" s="20"/>
      <c r="I244" s="20"/>
      <c r="J244" s="20"/>
      <c r="O244" s="20"/>
    </row>
    <row r="245" spans="1:15">
      <c r="A245" s="1"/>
      <c r="B245" s="1"/>
      <c r="C245" s="41"/>
      <c r="E245" s="42"/>
      <c r="F245" s="42"/>
      <c r="H245" s="20"/>
      <c r="I245" s="20"/>
      <c r="J245" s="20"/>
      <c r="O245" s="20"/>
    </row>
    <row r="246" spans="1:15">
      <c r="A246" s="1"/>
      <c r="B246" s="1"/>
      <c r="C246" s="41"/>
      <c r="E246" s="42"/>
      <c r="F246" s="42"/>
      <c r="H246" s="20"/>
      <c r="I246" s="20"/>
      <c r="J246" s="20"/>
      <c r="O246" s="20"/>
    </row>
    <row r="247" spans="1:15">
      <c r="A247" s="1"/>
      <c r="B247" s="1"/>
      <c r="C247" s="41"/>
      <c r="E247" s="42"/>
      <c r="F247" s="42"/>
      <c r="H247" s="20"/>
      <c r="I247" s="20"/>
      <c r="J247" s="20"/>
      <c r="O247" s="20"/>
    </row>
    <row r="248" spans="1:15">
      <c r="A248" s="1"/>
      <c r="B248" s="1"/>
      <c r="C248" s="41"/>
      <c r="E248" s="42"/>
      <c r="F248" s="42"/>
      <c r="H248" s="20"/>
      <c r="I248" s="20"/>
      <c r="J248" s="20"/>
      <c r="O248" s="20"/>
    </row>
    <row r="249" spans="1:15">
      <c r="A249" s="1"/>
      <c r="B249" s="1"/>
      <c r="C249" s="41"/>
      <c r="E249" s="42"/>
      <c r="F249" s="42"/>
      <c r="H249" s="20"/>
      <c r="I249" s="20"/>
      <c r="J249" s="20"/>
      <c r="O249" s="20"/>
    </row>
    <row r="250" spans="1:15">
      <c r="A250" s="1"/>
      <c r="B250" s="1"/>
      <c r="C250" s="41"/>
      <c r="E250" s="42"/>
      <c r="F250" s="42"/>
      <c r="H250" s="20"/>
      <c r="I250" s="20"/>
      <c r="J250" s="20"/>
      <c r="O250" s="20"/>
    </row>
    <row r="251" spans="1:15">
      <c r="A251" s="1"/>
      <c r="B251" s="1"/>
      <c r="C251" s="41"/>
      <c r="E251" s="42"/>
      <c r="F251" s="42"/>
      <c r="H251" s="20"/>
      <c r="I251" s="20"/>
      <c r="J251" s="20"/>
      <c r="O251" s="20"/>
    </row>
    <row r="252" spans="1:15">
      <c r="A252" s="1"/>
      <c r="B252" s="1"/>
      <c r="C252" s="41"/>
      <c r="E252" s="42"/>
      <c r="F252" s="42"/>
      <c r="H252" s="20"/>
      <c r="I252" s="20"/>
      <c r="J252" s="20"/>
      <c r="O252" s="20"/>
    </row>
    <row r="253" spans="1:15">
      <c r="A253" s="1"/>
      <c r="B253" s="1"/>
      <c r="C253" s="41"/>
      <c r="E253" s="42"/>
      <c r="F253" s="42"/>
      <c r="H253" s="20"/>
      <c r="I253" s="20"/>
      <c r="J253" s="20"/>
      <c r="O253" s="20"/>
    </row>
    <row r="254" spans="1:15">
      <c r="A254" s="1"/>
      <c r="B254" s="1"/>
      <c r="C254" s="41"/>
      <c r="E254" s="42"/>
      <c r="F254" s="42"/>
      <c r="H254" s="20"/>
      <c r="I254" s="20"/>
      <c r="J254" s="20"/>
      <c r="O254" s="20"/>
    </row>
    <row r="255" spans="1:15">
      <c r="A255" s="1"/>
      <c r="B255" s="1"/>
      <c r="C255" s="41"/>
      <c r="E255" s="42"/>
      <c r="F255" s="42"/>
      <c r="H255" s="20"/>
      <c r="I255" s="20"/>
      <c r="J255" s="20"/>
      <c r="O255" s="20"/>
    </row>
    <row r="256" spans="1:15">
      <c r="A256" s="1"/>
      <c r="B256" s="1"/>
      <c r="C256" s="41"/>
      <c r="E256" s="42"/>
      <c r="F256" s="42"/>
      <c r="H256" s="20"/>
      <c r="I256" s="20"/>
      <c r="J256" s="20"/>
      <c r="O256" s="20"/>
    </row>
    <row r="257" spans="1:15">
      <c r="A257" s="1"/>
      <c r="B257" s="1"/>
      <c r="C257" s="41"/>
      <c r="E257" s="42"/>
      <c r="F257" s="42"/>
      <c r="H257" s="20"/>
      <c r="I257" s="20"/>
      <c r="J257" s="20"/>
      <c r="O257" s="20"/>
    </row>
    <row r="258" spans="1:15">
      <c r="A258" s="1"/>
      <c r="B258" s="1"/>
      <c r="C258" s="41"/>
      <c r="E258" s="42"/>
      <c r="F258" s="42"/>
      <c r="H258" s="20"/>
      <c r="I258" s="20"/>
      <c r="J258" s="20"/>
      <c r="O258" s="20"/>
    </row>
    <row r="259" spans="1:15">
      <c r="A259" s="1"/>
      <c r="B259" s="1"/>
      <c r="C259" s="41"/>
      <c r="E259" s="42"/>
      <c r="F259" s="42"/>
      <c r="H259" s="20"/>
      <c r="I259" s="20"/>
      <c r="J259" s="20"/>
      <c r="O259" s="20"/>
    </row>
    <row r="260" spans="1:15">
      <c r="A260" s="1"/>
      <c r="B260" s="1"/>
      <c r="C260" s="41"/>
      <c r="E260" s="42"/>
      <c r="F260" s="42"/>
      <c r="H260" s="20"/>
      <c r="I260" s="20"/>
      <c r="J260" s="20"/>
      <c r="O260" s="20"/>
    </row>
    <row r="261" spans="1:15">
      <c r="A261" s="1"/>
      <c r="B261" s="1"/>
      <c r="C261" s="41"/>
      <c r="E261" s="42"/>
      <c r="F261" s="42"/>
      <c r="H261" s="20"/>
      <c r="I261" s="20"/>
      <c r="J261" s="20"/>
      <c r="O261" s="20"/>
    </row>
    <row r="262" spans="1:15">
      <c r="A262" s="1"/>
      <c r="B262" s="1"/>
      <c r="C262" s="41"/>
      <c r="E262" s="42"/>
      <c r="F262" s="42"/>
      <c r="H262" s="20"/>
      <c r="I262" s="20"/>
      <c r="J262" s="20"/>
      <c r="O262" s="20"/>
    </row>
    <row r="263" spans="1:15">
      <c r="A263" s="1"/>
      <c r="B263" s="1"/>
      <c r="C263" s="41"/>
      <c r="E263" s="42"/>
      <c r="F263" s="42"/>
      <c r="H263" s="20"/>
      <c r="I263" s="20"/>
      <c r="J263" s="20"/>
      <c r="O263" s="20"/>
    </row>
    <row r="264" spans="1:15">
      <c r="A264" s="1"/>
      <c r="B264" s="1"/>
      <c r="C264" s="41"/>
      <c r="E264" s="42"/>
      <c r="F264" s="42"/>
      <c r="H264" s="20"/>
      <c r="I264" s="20"/>
      <c r="J264" s="20"/>
      <c r="O264" s="20"/>
    </row>
    <row r="265" spans="1:15">
      <c r="A265" s="1"/>
      <c r="B265" s="1"/>
      <c r="C265" s="41"/>
      <c r="E265" s="42"/>
      <c r="F265" s="42"/>
      <c r="H265" s="20"/>
      <c r="I265" s="20"/>
      <c r="J265" s="20"/>
      <c r="O265" s="20"/>
    </row>
    <row r="266" spans="1:15">
      <c r="A266" s="1"/>
      <c r="B266" s="1"/>
      <c r="C266" s="41"/>
      <c r="E266" s="42"/>
      <c r="F266" s="42"/>
      <c r="H266" s="20"/>
      <c r="I266" s="20"/>
      <c r="J266" s="20"/>
      <c r="O266" s="20"/>
    </row>
    <row r="267" spans="1:15">
      <c r="A267" s="1"/>
      <c r="B267" s="1"/>
      <c r="C267" s="41"/>
      <c r="E267" s="42"/>
      <c r="F267" s="42"/>
      <c r="H267" s="20"/>
      <c r="I267" s="20"/>
      <c r="J267" s="20"/>
      <c r="O267" s="20"/>
    </row>
    <row r="268" spans="1:15">
      <c r="A268" s="1"/>
      <c r="B268" s="1"/>
      <c r="C268" s="41"/>
      <c r="E268" s="42"/>
      <c r="F268" s="42"/>
      <c r="H268" s="20"/>
      <c r="I268" s="20"/>
      <c r="J268" s="20"/>
      <c r="O268" s="20"/>
    </row>
    <row r="269" spans="1:15">
      <c r="A269" s="1"/>
      <c r="B269" s="1"/>
      <c r="C269" s="41"/>
      <c r="E269" s="42"/>
      <c r="F269" s="42"/>
      <c r="H269" s="20"/>
      <c r="I269" s="20"/>
      <c r="J269" s="20"/>
      <c r="O269" s="20"/>
    </row>
    <row r="270" spans="1:15">
      <c r="A270" s="1"/>
      <c r="B270" s="1"/>
      <c r="C270" s="41"/>
      <c r="E270" s="42"/>
      <c r="F270" s="42"/>
      <c r="H270" s="20"/>
      <c r="I270" s="20"/>
      <c r="J270" s="20"/>
      <c r="O270" s="20"/>
    </row>
    <row r="271" spans="1:15">
      <c r="A271" s="1"/>
      <c r="B271" s="1"/>
      <c r="C271" s="41"/>
      <c r="E271" s="42"/>
      <c r="F271" s="42"/>
      <c r="H271" s="20"/>
      <c r="I271" s="20"/>
      <c r="J271" s="20"/>
      <c r="O271" s="20"/>
    </row>
    <row r="272" spans="1:15">
      <c r="A272" s="1"/>
      <c r="B272" s="1"/>
      <c r="C272" s="41"/>
      <c r="E272" s="42"/>
      <c r="F272" s="42"/>
      <c r="H272" s="20"/>
      <c r="I272" s="20"/>
      <c r="J272" s="20"/>
      <c r="O272" s="20"/>
    </row>
    <row r="273" spans="1:15">
      <c r="A273" s="1"/>
      <c r="B273" s="1"/>
      <c r="C273" s="41"/>
      <c r="E273" s="42"/>
      <c r="F273" s="42"/>
      <c r="H273" s="20"/>
      <c r="I273" s="20"/>
      <c r="J273" s="20"/>
      <c r="O273" s="20"/>
    </row>
    <row r="274" spans="1:15">
      <c r="A274" s="1"/>
      <c r="B274" s="1"/>
      <c r="C274" s="41"/>
      <c r="E274" s="42"/>
      <c r="F274" s="42"/>
      <c r="H274" s="20"/>
      <c r="I274" s="20"/>
      <c r="J274" s="20"/>
      <c r="O274" s="20"/>
    </row>
    <row r="275" spans="1:15">
      <c r="A275" s="1"/>
      <c r="B275" s="1"/>
      <c r="C275" s="41"/>
      <c r="E275" s="42"/>
      <c r="F275" s="42"/>
      <c r="H275" s="20"/>
      <c r="I275" s="20"/>
      <c r="J275" s="20"/>
      <c r="O275" s="20"/>
    </row>
    <row r="276" spans="1:15">
      <c r="A276" s="1"/>
      <c r="B276" s="1"/>
      <c r="C276" s="41"/>
      <c r="E276" s="42"/>
      <c r="F276" s="42"/>
      <c r="H276" s="20"/>
      <c r="I276" s="20"/>
      <c r="J276" s="20"/>
      <c r="O276" s="20"/>
    </row>
    <row r="277" spans="1:15">
      <c r="A277" s="1"/>
      <c r="B277" s="1"/>
      <c r="C277" s="41"/>
      <c r="E277" s="42"/>
      <c r="F277" s="42"/>
      <c r="H277" s="20"/>
      <c r="I277" s="20"/>
      <c r="J277" s="20"/>
      <c r="O277" s="20"/>
    </row>
    <row r="278" spans="1:15">
      <c r="A278" s="1"/>
      <c r="B278" s="1"/>
      <c r="C278" s="41"/>
      <c r="E278" s="42"/>
      <c r="F278" s="42"/>
      <c r="H278" s="20"/>
      <c r="I278" s="20"/>
      <c r="J278" s="20"/>
      <c r="O278" s="20"/>
    </row>
    <row r="279" spans="1:15">
      <c r="A279" s="1"/>
      <c r="B279" s="1"/>
      <c r="C279" s="41"/>
      <c r="E279" s="42"/>
      <c r="F279" s="42"/>
      <c r="H279" s="20"/>
      <c r="I279" s="20"/>
      <c r="J279" s="20"/>
      <c r="O279" s="20"/>
    </row>
    <row r="280" spans="1:15">
      <c r="A280" s="1"/>
      <c r="B280" s="1"/>
      <c r="C280" s="41"/>
      <c r="E280" s="42"/>
      <c r="F280" s="42"/>
      <c r="H280" s="20"/>
      <c r="I280" s="20"/>
      <c r="J280" s="20"/>
      <c r="O280" s="20"/>
    </row>
    <row r="281" spans="1:15">
      <c r="A281" s="1"/>
      <c r="B281" s="1"/>
      <c r="C281" s="41"/>
      <c r="E281" s="42"/>
      <c r="F281" s="42"/>
      <c r="H281" s="20"/>
      <c r="I281" s="20"/>
      <c r="J281" s="20"/>
      <c r="O281" s="20"/>
    </row>
    <row r="282" spans="1:15">
      <c r="A282" s="1"/>
      <c r="B282" s="1"/>
      <c r="C282" s="41"/>
      <c r="E282" s="42"/>
      <c r="F282" s="42"/>
      <c r="H282" s="20"/>
      <c r="I282" s="20"/>
      <c r="J282" s="20"/>
      <c r="O282" s="20"/>
    </row>
    <row r="283" spans="1:15">
      <c r="A283" s="1"/>
      <c r="B283" s="1"/>
      <c r="C283" s="41"/>
      <c r="E283" s="42"/>
      <c r="F283" s="42"/>
      <c r="H283" s="20"/>
      <c r="I283" s="20"/>
      <c r="J283" s="20"/>
      <c r="O283" s="20"/>
    </row>
    <row r="284" spans="1:15">
      <c r="A284" s="1"/>
      <c r="B284" s="1"/>
      <c r="C284" s="41"/>
      <c r="E284" s="42"/>
      <c r="F284" s="42"/>
      <c r="H284" s="20"/>
      <c r="I284" s="20"/>
      <c r="J284" s="20"/>
      <c r="O284" s="20"/>
    </row>
    <row r="285" spans="1:15">
      <c r="A285" s="1"/>
      <c r="B285" s="1"/>
      <c r="C285" s="41"/>
      <c r="E285" s="42"/>
      <c r="F285" s="42"/>
      <c r="H285" s="20"/>
      <c r="I285" s="20"/>
      <c r="J285" s="20"/>
      <c r="O285" s="20"/>
    </row>
    <row r="286" spans="1:15">
      <c r="A286" s="1"/>
      <c r="B286" s="1"/>
      <c r="C286" s="41"/>
      <c r="E286" s="42"/>
      <c r="F286" s="42"/>
      <c r="H286" s="20"/>
      <c r="I286" s="20"/>
      <c r="J286" s="20"/>
      <c r="O286" s="20"/>
    </row>
    <row r="287" spans="1:15">
      <c r="A287" s="1"/>
      <c r="B287" s="1"/>
      <c r="C287" s="41"/>
      <c r="E287" s="42"/>
      <c r="F287" s="42"/>
      <c r="H287" s="20"/>
      <c r="I287" s="20"/>
      <c r="J287" s="20"/>
      <c r="O287" s="20"/>
    </row>
    <row r="288" spans="1:15">
      <c r="A288" s="1"/>
      <c r="B288" s="1"/>
      <c r="C288" s="41"/>
      <c r="E288" s="42"/>
      <c r="F288" s="42"/>
      <c r="H288" s="20"/>
      <c r="I288" s="20"/>
      <c r="J288" s="20"/>
      <c r="O288" s="20"/>
    </row>
    <row r="289" spans="1:15">
      <c r="A289" s="1"/>
      <c r="B289" s="1"/>
      <c r="C289" s="41"/>
      <c r="E289" s="42"/>
      <c r="F289" s="42"/>
      <c r="H289" s="20"/>
      <c r="I289" s="20"/>
      <c r="J289" s="20"/>
      <c r="O289" s="20"/>
    </row>
    <row r="290" spans="1:15">
      <c r="A290" s="1"/>
      <c r="B290" s="1"/>
      <c r="C290" s="41"/>
      <c r="E290" s="42"/>
      <c r="F290" s="42"/>
      <c r="H290" s="20"/>
      <c r="I290" s="20"/>
      <c r="J290" s="20"/>
      <c r="O290" s="20"/>
    </row>
    <row r="291" spans="1:15">
      <c r="A291" s="1"/>
      <c r="B291" s="1"/>
      <c r="C291" s="41"/>
      <c r="E291" s="42"/>
      <c r="F291" s="42"/>
      <c r="H291" s="20"/>
      <c r="I291" s="20"/>
      <c r="J291" s="20"/>
      <c r="O291" s="20"/>
    </row>
    <row r="292" spans="1:15">
      <c r="A292" s="1"/>
      <c r="B292" s="1"/>
      <c r="C292" s="41"/>
      <c r="E292" s="42"/>
      <c r="F292" s="42"/>
      <c r="H292" s="20"/>
      <c r="I292" s="20"/>
      <c r="J292" s="20"/>
      <c r="O292" s="20"/>
    </row>
    <row r="293" spans="1:15">
      <c r="A293" s="1"/>
      <c r="B293" s="1"/>
      <c r="C293" s="41"/>
      <c r="E293" s="42"/>
      <c r="F293" s="42"/>
      <c r="H293" s="20"/>
      <c r="I293" s="20"/>
      <c r="J293" s="20"/>
      <c r="O293" s="20"/>
    </row>
    <row r="294" spans="1:15">
      <c r="A294" s="1"/>
      <c r="B294" s="1"/>
      <c r="C294" s="41"/>
      <c r="E294" s="42"/>
      <c r="F294" s="42"/>
      <c r="H294" s="20"/>
      <c r="I294" s="20"/>
      <c r="J294" s="20"/>
      <c r="O294" s="20"/>
    </row>
    <row r="295" spans="1:15">
      <c r="A295" s="1"/>
      <c r="B295" s="1"/>
      <c r="C295" s="41"/>
      <c r="E295" s="42"/>
      <c r="F295" s="42"/>
      <c r="H295" s="20"/>
      <c r="I295" s="20"/>
      <c r="J295" s="20"/>
      <c r="O295" s="20"/>
    </row>
    <row r="296" spans="1:15">
      <c r="A296" s="1"/>
      <c r="B296" s="1"/>
      <c r="C296" s="41"/>
      <c r="E296" s="42"/>
      <c r="F296" s="42"/>
      <c r="H296" s="20"/>
      <c r="I296" s="20"/>
      <c r="J296" s="20"/>
      <c r="O296" s="20"/>
    </row>
    <row r="297" spans="1:15">
      <c r="A297" s="1"/>
      <c r="B297" s="1"/>
      <c r="C297" s="41"/>
      <c r="E297" s="42"/>
      <c r="F297" s="42"/>
      <c r="H297" s="20"/>
      <c r="I297" s="20"/>
      <c r="J297" s="20"/>
      <c r="O297" s="20"/>
    </row>
    <row r="298" spans="1:15">
      <c r="A298" s="1"/>
      <c r="B298" s="1"/>
      <c r="C298" s="41"/>
      <c r="E298" s="42"/>
      <c r="F298" s="42"/>
      <c r="H298" s="20"/>
      <c r="I298" s="20"/>
      <c r="J298" s="20"/>
      <c r="O298" s="20"/>
    </row>
    <row r="299" spans="1:15">
      <c r="A299" s="1"/>
      <c r="B299" s="1"/>
      <c r="C299" s="41"/>
      <c r="E299" s="42"/>
      <c r="F299" s="42"/>
      <c r="H299" s="20"/>
      <c r="I299" s="20"/>
      <c r="J299" s="20"/>
      <c r="O299" s="20"/>
    </row>
    <row r="300" spans="1:15">
      <c r="A300" s="1"/>
      <c r="B300" s="1"/>
      <c r="C300" s="41"/>
      <c r="E300" s="42"/>
      <c r="F300" s="42"/>
      <c r="H300" s="20"/>
      <c r="I300" s="20"/>
      <c r="J300" s="20"/>
      <c r="O300" s="20"/>
    </row>
    <row r="301" spans="1:15">
      <c r="A301" s="1"/>
      <c r="B301" s="1"/>
      <c r="C301" s="41"/>
      <c r="E301" s="42"/>
      <c r="F301" s="42"/>
      <c r="H301" s="20"/>
      <c r="I301" s="20"/>
      <c r="J301" s="20"/>
      <c r="O301" s="20"/>
    </row>
    <row r="302" spans="1:15">
      <c r="A302" s="1"/>
      <c r="B302" s="1"/>
      <c r="C302" s="41"/>
      <c r="E302" s="42"/>
      <c r="F302" s="42"/>
      <c r="H302" s="20"/>
      <c r="I302" s="20"/>
      <c r="J302" s="20"/>
      <c r="O302" s="20"/>
    </row>
    <row r="303" spans="1:15">
      <c r="A303" s="1"/>
      <c r="B303" s="1"/>
      <c r="C303" s="41"/>
      <c r="E303" s="42"/>
      <c r="F303" s="42"/>
      <c r="H303" s="20"/>
      <c r="I303" s="20"/>
      <c r="J303" s="20"/>
      <c r="O303" s="20"/>
    </row>
    <row r="304" spans="1:15">
      <c r="A304" s="1"/>
      <c r="B304" s="1"/>
      <c r="C304" s="41"/>
      <c r="E304" s="42"/>
      <c r="F304" s="42"/>
      <c r="H304" s="20"/>
      <c r="I304" s="20"/>
      <c r="J304" s="20"/>
      <c r="O304" s="20"/>
    </row>
    <row r="305" spans="1:15">
      <c r="A305" s="1"/>
      <c r="B305" s="1"/>
      <c r="C305" s="41"/>
      <c r="E305" s="42"/>
      <c r="F305" s="42"/>
      <c r="H305" s="20"/>
      <c r="I305" s="20"/>
      <c r="J305" s="20"/>
      <c r="O305" s="20"/>
    </row>
    <row r="306" spans="1:15">
      <c r="A306" s="1"/>
      <c r="B306" s="1"/>
      <c r="C306" s="41"/>
      <c r="E306" s="42"/>
      <c r="F306" s="42"/>
      <c r="H306" s="20"/>
      <c r="I306" s="20"/>
      <c r="J306" s="20"/>
      <c r="O306" s="20"/>
    </row>
    <row r="307" spans="1:15">
      <c r="A307" s="1"/>
      <c r="B307" s="1"/>
      <c r="C307" s="41"/>
      <c r="E307" s="42"/>
      <c r="F307" s="42"/>
      <c r="H307" s="20"/>
      <c r="I307" s="20"/>
      <c r="J307" s="20"/>
      <c r="O307" s="20"/>
    </row>
    <row r="308" spans="1:15">
      <c r="A308" s="1"/>
      <c r="B308" s="1"/>
      <c r="C308" s="41"/>
      <c r="E308" s="42"/>
      <c r="F308" s="42"/>
      <c r="H308" s="20"/>
      <c r="I308" s="20"/>
      <c r="J308" s="20"/>
      <c r="O308" s="20"/>
    </row>
    <row r="309" spans="1:15">
      <c r="A309" s="1"/>
      <c r="B309" s="1"/>
      <c r="C309" s="41"/>
      <c r="E309" s="42"/>
      <c r="F309" s="42"/>
      <c r="H309" s="20"/>
      <c r="I309" s="20"/>
      <c r="J309" s="20"/>
      <c r="O309" s="20"/>
    </row>
    <row r="310" spans="1:15">
      <c r="A310" s="1"/>
      <c r="B310" s="1"/>
      <c r="C310" s="41"/>
      <c r="E310" s="42"/>
      <c r="F310" s="42"/>
      <c r="H310" s="20"/>
      <c r="I310" s="20"/>
      <c r="J310" s="20"/>
      <c r="O310" s="20"/>
    </row>
    <row r="311" spans="1:15">
      <c r="A311" s="1"/>
      <c r="B311" s="1"/>
      <c r="C311" s="41"/>
      <c r="E311" s="42"/>
      <c r="F311" s="42"/>
      <c r="H311" s="20"/>
      <c r="I311" s="20"/>
      <c r="J311" s="20"/>
      <c r="O311" s="20"/>
    </row>
    <row r="312" spans="1:15">
      <c r="A312" s="1"/>
      <c r="B312" s="1"/>
      <c r="C312" s="41"/>
      <c r="E312" s="42"/>
      <c r="F312" s="42"/>
      <c r="H312" s="20"/>
      <c r="I312" s="20"/>
      <c r="J312" s="20"/>
      <c r="O312" s="20"/>
    </row>
    <row r="313" spans="1:15">
      <c r="A313" s="1"/>
      <c r="B313" s="1"/>
      <c r="C313" s="41"/>
      <c r="E313" s="42"/>
      <c r="F313" s="42"/>
      <c r="H313" s="20"/>
      <c r="I313" s="20"/>
      <c r="J313" s="20"/>
      <c r="O313" s="20"/>
    </row>
    <row r="314" spans="1:15">
      <c r="A314" s="1"/>
      <c r="B314" s="1"/>
      <c r="C314" s="41"/>
      <c r="E314" s="42"/>
      <c r="F314" s="42"/>
      <c r="H314" s="20"/>
      <c r="I314" s="20"/>
      <c r="J314" s="20"/>
      <c r="O314" s="20"/>
    </row>
    <row r="315" spans="1:15">
      <c r="A315" s="1"/>
      <c r="B315" s="1"/>
      <c r="C315" s="41"/>
      <c r="E315" s="42"/>
      <c r="F315" s="42"/>
      <c r="H315" s="20"/>
      <c r="I315" s="20"/>
      <c r="J315" s="20"/>
      <c r="O315" s="20"/>
    </row>
    <row r="316" spans="1:15">
      <c r="A316" s="1"/>
      <c r="B316" s="1"/>
      <c r="C316" s="41"/>
      <c r="E316" s="42"/>
      <c r="F316" s="42"/>
      <c r="H316" s="20"/>
      <c r="I316" s="20"/>
      <c r="J316" s="20"/>
      <c r="O316" s="20"/>
    </row>
    <row r="317" spans="1:15">
      <c r="A317" s="1"/>
      <c r="B317" s="1"/>
      <c r="C317" s="41"/>
      <c r="E317" s="42"/>
      <c r="F317" s="42"/>
      <c r="H317" s="20"/>
      <c r="I317" s="20"/>
      <c r="J317" s="20"/>
      <c r="O317" s="20"/>
    </row>
    <row r="318" spans="1:15">
      <c r="A318" s="1"/>
      <c r="B318" s="1"/>
      <c r="C318" s="41"/>
      <c r="E318" s="42"/>
      <c r="F318" s="42"/>
      <c r="H318" s="20"/>
      <c r="I318" s="20"/>
      <c r="J318" s="20"/>
      <c r="O318" s="20"/>
    </row>
    <row r="319" spans="1:15">
      <c r="A319" s="1"/>
      <c r="B319" s="1"/>
      <c r="C319" s="41"/>
      <c r="E319" s="42"/>
      <c r="F319" s="42"/>
      <c r="H319" s="20"/>
      <c r="I319" s="20"/>
      <c r="J319" s="20"/>
      <c r="O319" s="20"/>
    </row>
    <row r="320" spans="1:15">
      <c r="A320" s="1"/>
      <c r="B320" s="1"/>
      <c r="C320" s="41"/>
      <c r="E320" s="42"/>
      <c r="F320" s="42"/>
      <c r="H320" s="20"/>
      <c r="I320" s="20"/>
      <c r="J320" s="20"/>
      <c r="O320" s="20"/>
    </row>
    <row r="321" spans="1:15">
      <c r="A321" s="1"/>
      <c r="B321" s="1"/>
      <c r="C321" s="41"/>
      <c r="E321" s="42"/>
      <c r="F321" s="42"/>
      <c r="H321" s="20"/>
      <c r="I321" s="20"/>
      <c r="J321" s="20"/>
      <c r="O321" s="20"/>
    </row>
    <row r="322" spans="1:15">
      <c r="A322" s="1"/>
      <c r="B322" s="1"/>
      <c r="C322" s="41"/>
      <c r="E322" s="42"/>
      <c r="F322" s="42"/>
      <c r="H322" s="20"/>
      <c r="I322" s="20"/>
      <c r="J322" s="20"/>
      <c r="O322" s="20"/>
    </row>
    <row r="323" spans="1:15">
      <c r="A323" s="1"/>
      <c r="B323" s="1"/>
      <c r="C323" s="41"/>
      <c r="E323" s="42"/>
      <c r="F323" s="42"/>
      <c r="H323" s="20"/>
      <c r="I323" s="20"/>
      <c r="J323" s="20"/>
      <c r="O323" s="20"/>
    </row>
    <row r="324" spans="1:15">
      <c r="A324" s="1"/>
      <c r="B324" s="1"/>
      <c r="C324" s="41"/>
      <c r="E324" s="42"/>
      <c r="F324" s="42"/>
      <c r="H324" s="20"/>
      <c r="I324" s="20"/>
      <c r="J324" s="20"/>
      <c r="O324" s="20"/>
    </row>
    <row r="325" spans="1:15">
      <c r="A325" s="1"/>
      <c r="B325" s="1"/>
      <c r="C325" s="41"/>
      <c r="E325" s="42"/>
      <c r="F325" s="42"/>
      <c r="H325" s="20"/>
      <c r="I325" s="20"/>
      <c r="J325" s="20"/>
      <c r="O325" s="20"/>
    </row>
    <row r="326" spans="1:15">
      <c r="A326" s="1"/>
      <c r="B326" s="1"/>
      <c r="C326" s="41"/>
      <c r="E326" s="42"/>
      <c r="F326" s="42"/>
      <c r="H326" s="20"/>
      <c r="I326" s="20"/>
      <c r="J326" s="20"/>
      <c r="O326" s="20"/>
    </row>
    <row r="327" spans="1:15">
      <c r="A327" s="1"/>
      <c r="B327" s="1"/>
      <c r="C327" s="41"/>
      <c r="E327" s="42"/>
      <c r="F327" s="42"/>
      <c r="H327" s="20"/>
      <c r="I327" s="20"/>
      <c r="J327" s="20"/>
      <c r="O327" s="20"/>
    </row>
    <row r="328" spans="1:15">
      <c r="A328" s="1"/>
      <c r="B328" s="1"/>
      <c r="C328" s="41"/>
      <c r="E328" s="42"/>
      <c r="F328" s="42"/>
      <c r="H328" s="20"/>
      <c r="I328" s="20"/>
      <c r="J328" s="20"/>
      <c r="O328" s="20"/>
    </row>
    <row r="329" spans="1:15">
      <c r="A329" s="1"/>
      <c r="B329" s="1"/>
      <c r="C329" s="41"/>
      <c r="E329" s="42"/>
      <c r="F329" s="42"/>
      <c r="H329" s="20"/>
      <c r="I329" s="20"/>
      <c r="J329" s="20"/>
      <c r="O329" s="20"/>
    </row>
    <row r="330" spans="1:15">
      <c r="A330" s="1"/>
      <c r="B330" s="1"/>
      <c r="C330" s="41"/>
      <c r="E330" s="42"/>
      <c r="F330" s="42"/>
      <c r="H330" s="20"/>
      <c r="I330" s="20"/>
      <c r="J330" s="20"/>
      <c r="O330" s="20"/>
    </row>
    <row r="331" spans="1:15">
      <c r="A331" s="1"/>
      <c r="B331" s="1"/>
      <c r="C331" s="41"/>
      <c r="E331" s="42"/>
      <c r="F331" s="42"/>
      <c r="H331" s="20"/>
      <c r="I331" s="20"/>
      <c r="J331" s="20"/>
      <c r="O331" s="20"/>
    </row>
    <row r="332" spans="1:15">
      <c r="A332" s="1"/>
      <c r="B332" s="1"/>
      <c r="C332" s="41"/>
      <c r="E332" s="42"/>
      <c r="F332" s="42"/>
      <c r="H332" s="20"/>
      <c r="I332" s="20"/>
      <c r="J332" s="20"/>
      <c r="O332" s="20"/>
    </row>
    <row r="333" spans="1:15">
      <c r="A333" s="1"/>
      <c r="B333" s="1"/>
      <c r="C333" s="41"/>
      <c r="E333" s="42"/>
      <c r="F333" s="42"/>
      <c r="H333" s="20"/>
      <c r="I333" s="20"/>
      <c r="J333" s="20"/>
      <c r="O333" s="20"/>
    </row>
    <row r="334" spans="1:15">
      <c r="A334" s="1"/>
      <c r="B334" s="1"/>
      <c r="C334" s="41"/>
      <c r="E334" s="42"/>
      <c r="F334" s="42"/>
      <c r="H334" s="20"/>
      <c r="I334" s="20"/>
      <c r="J334" s="20"/>
      <c r="O334" s="20"/>
    </row>
    <row r="335" spans="1:15">
      <c r="A335" s="1"/>
      <c r="B335" s="1"/>
      <c r="C335" s="41"/>
      <c r="E335" s="42"/>
      <c r="F335" s="42"/>
      <c r="H335" s="20"/>
      <c r="I335" s="20"/>
      <c r="J335" s="20"/>
      <c r="O335" s="20"/>
    </row>
    <row r="336" spans="1:15">
      <c r="A336" s="1"/>
      <c r="B336" s="1"/>
      <c r="C336" s="41"/>
      <c r="E336" s="42"/>
      <c r="F336" s="42"/>
      <c r="H336" s="20"/>
      <c r="I336" s="20"/>
      <c r="J336" s="20"/>
      <c r="O336" s="20"/>
    </row>
    <row r="337" spans="1:15">
      <c r="A337" s="1"/>
      <c r="B337" s="1"/>
      <c r="C337" s="41"/>
      <c r="E337" s="42"/>
      <c r="F337" s="42"/>
      <c r="H337" s="20"/>
      <c r="I337" s="20"/>
      <c r="J337" s="20"/>
      <c r="O337" s="20"/>
    </row>
    <row r="338" spans="1:15">
      <c r="A338" s="1"/>
      <c r="B338" s="1"/>
      <c r="C338" s="41"/>
      <c r="E338" s="42"/>
      <c r="F338" s="42"/>
      <c r="H338" s="20"/>
      <c r="I338" s="20"/>
      <c r="J338" s="20"/>
      <c r="O338" s="20"/>
    </row>
    <row r="339" spans="1:15">
      <c r="A339" s="1"/>
      <c r="B339" s="1"/>
      <c r="C339" s="41"/>
      <c r="E339" s="42"/>
      <c r="F339" s="42"/>
      <c r="H339" s="20"/>
      <c r="I339" s="20"/>
      <c r="J339" s="20"/>
      <c r="O339" s="20"/>
    </row>
    <row r="340" spans="1:15">
      <c r="A340" s="1"/>
      <c r="B340" s="1"/>
      <c r="C340" s="41"/>
      <c r="E340" s="42"/>
      <c r="F340" s="42"/>
      <c r="H340" s="20"/>
      <c r="I340" s="20"/>
      <c r="J340" s="20"/>
      <c r="O340" s="20"/>
    </row>
    <row r="341" spans="1:15">
      <c r="A341" s="1"/>
      <c r="B341" s="1"/>
      <c r="C341" s="41"/>
      <c r="E341" s="42"/>
      <c r="F341" s="42"/>
      <c r="H341" s="20"/>
      <c r="I341" s="20"/>
      <c r="J341" s="20"/>
      <c r="O341" s="20"/>
    </row>
    <row r="342" spans="1:15">
      <c r="A342" s="1"/>
      <c r="B342" s="1"/>
      <c r="C342" s="41"/>
      <c r="E342" s="42"/>
      <c r="F342" s="42"/>
      <c r="H342" s="20"/>
      <c r="I342" s="20"/>
      <c r="J342" s="20"/>
      <c r="O342" s="20"/>
    </row>
    <row r="343" spans="1:15">
      <c r="A343" s="1"/>
      <c r="B343" s="1"/>
      <c r="C343" s="41"/>
      <c r="E343" s="42"/>
      <c r="F343" s="42"/>
      <c r="H343" s="20"/>
      <c r="I343" s="20"/>
      <c r="J343" s="20"/>
      <c r="O343" s="20"/>
    </row>
    <row r="344" spans="1:15">
      <c r="A344" s="1"/>
      <c r="B344" s="1"/>
      <c r="C344" s="41"/>
      <c r="E344" s="42"/>
      <c r="F344" s="42"/>
      <c r="H344" s="20"/>
      <c r="I344" s="20"/>
      <c r="J344" s="20"/>
      <c r="O344" s="20"/>
    </row>
    <row r="345" spans="1:15">
      <c r="A345" s="1"/>
      <c r="B345" s="1"/>
      <c r="C345" s="41"/>
      <c r="E345" s="42"/>
      <c r="F345" s="42"/>
      <c r="H345" s="20"/>
      <c r="I345" s="20"/>
      <c r="J345" s="20"/>
      <c r="O345" s="20"/>
    </row>
    <row r="346" spans="1:15">
      <c r="A346" s="1"/>
      <c r="B346" s="1"/>
      <c r="C346" s="41"/>
      <c r="E346" s="42"/>
      <c r="F346" s="42"/>
      <c r="H346" s="20"/>
      <c r="I346" s="20"/>
      <c r="J346" s="20"/>
      <c r="O346" s="20"/>
    </row>
    <row r="347" spans="1:15">
      <c r="A347" s="1"/>
      <c r="B347" s="1"/>
      <c r="C347" s="41"/>
      <c r="E347" s="42"/>
      <c r="F347" s="42"/>
      <c r="H347" s="20"/>
      <c r="I347" s="20"/>
      <c r="J347" s="20"/>
      <c r="O347" s="20"/>
    </row>
    <row r="348" spans="1:15">
      <c r="A348" s="1"/>
      <c r="B348" s="1"/>
      <c r="C348" s="41"/>
      <c r="E348" s="42"/>
      <c r="F348" s="42"/>
      <c r="H348" s="20"/>
      <c r="I348" s="20"/>
      <c r="J348" s="20"/>
      <c r="O348" s="20"/>
    </row>
    <row r="349" spans="1:15">
      <c r="A349" s="1"/>
      <c r="B349" s="1"/>
      <c r="C349" s="41"/>
      <c r="E349" s="42"/>
      <c r="F349" s="42"/>
      <c r="H349" s="20"/>
      <c r="I349" s="20"/>
      <c r="J349" s="20"/>
      <c r="O349" s="20"/>
    </row>
    <row r="350" spans="1:15">
      <c r="A350" s="1"/>
      <c r="B350" s="1"/>
      <c r="C350" s="41"/>
      <c r="E350" s="42"/>
      <c r="F350" s="42"/>
      <c r="H350" s="20"/>
      <c r="I350" s="20"/>
      <c r="J350" s="20"/>
      <c r="O350" s="20"/>
    </row>
    <row r="351" spans="1:15">
      <c r="A351" s="1"/>
      <c r="B351" s="1"/>
      <c r="C351" s="41"/>
      <c r="E351" s="42"/>
      <c r="F351" s="42"/>
      <c r="H351" s="20"/>
      <c r="I351" s="20"/>
      <c r="J351" s="20"/>
      <c r="O351" s="20"/>
    </row>
    <row r="352" spans="1:15">
      <c r="A352" s="1"/>
      <c r="B352" s="1"/>
      <c r="C352" s="41"/>
      <c r="E352" s="42"/>
      <c r="F352" s="42"/>
      <c r="H352" s="20"/>
      <c r="I352" s="20"/>
      <c r="J352" s="20"/>
      <c r="O352" s="20"/>
    </row>
    <row r="353" spans="1:15">
      <c r="A353" s="1"/>
      <c r="B353" s="1"/>
      <c r="C353" s="41"/>
      <c r="E353" s="42"/>
      <c r="F353" s="42"/>
      <c r="H353" s="20"/>
      <c r="I353" s="20"/>
      <c r="J353" s="20"/>
      <c r="O353" s="20"/>
    </row>
    <row r="354" spans="1:15">
      <c r="A354" s="1"/>
      <c r="B354" s="1"/>
      <c r="C354" s="41"/>
      <c r="E354" s="42"/>
      <c r="F354" s="42"/>
      <c r="H354" s="20"/>
      <c r="I354" s="20"/>
      <c r="J354" s="20"/>
      <c r="O354" s="20"/>
    </row>
    <row r="355" spans="1:15">
      <c r="A355" s="1"/>
      <c r="B355" s="1"/>
      <c r="C355" s="41"/>
      <c r="E355" s="42"/>
      <c r="F355" s="42"/>
      <c r="H355" s="20"/>
      <c r="I355" s="20"/>
      <c r="J355" s="20"/>
      <c r="O355" s="20"/>
    </row>
    <row r="356" spans="1:15">
      <c r="A356" s="1"/>
      <c r="B356" s="1"/>
      <c r="C356" s="41"/>
      <c r="E356" s="42"/>
      <c r="F356" s="42"/>
      <c r="H356" s="20"/>
      <c r="I356" s="20"/>
      <c r="J356" s="20"/>
      <c r="O356" s="20"/>
    </row>
    <row r="357" spans="1:15">
      <c r="A357" s="1"/>
      <c r="B357" s="1"/>
      <c r="C357" s="41"/>
      <c r="E357" s="42"/>
      <c r="F357" s="42"/>
      <c r="H357" s="20"/>
      <c r="I357" s="20"/>
      <c r="J357" s="20"/>
      <c r="O357" s="20"/>
    </row>
    <row r="358" spans="1:15">
      <c r="A358" s="1"/>
      <c r="B358" s="1"/>
      <c r="C358" s="41"/>
      <c r="E358" s="42"/>
      <c r="F358" s="42"/>
      <c r="H358" s="20"/>
      <c r="I358" s="20"/>
      <c r="J358" s="20"/>
      <c r="O358" s="20"/>
    </row>
    <row r="359" spans="1:15">
      <c r="A359" s="1"/>
      <c r="B359" s="1"/>
      <c r="C359" s="41"/>
      <c r="E359" s="42"/>
      <c r="F359" s="42"/>
      <c r="H359" s="20"/>
      <c r="I359" s="20"/>
      <c r="J359" s="20"/>
      <c r="O359" s="20"/>
    </row>
    <row r="360" spans="1:15">
      <c r="A360" s="1"/>
      <c r="B360" s="1"/>
      <c r="C360" s="41"/>
      <c r="E360" s="42"/>
      <c r="F360" s="42"/>
      <c r="H360" s="20"/>
      <c r="I360" s="20"/>
      <c r="J360" s="20"/>
      <c r="O360" s="20"/>
    </row>
    <row r="361" spans="1:15">
      <c r="A361" s="1"/>
      <c r="B361" s="1"/>
      <c r="C361" s="41"/>
      <c r="E361" s="42"/>
      <c r="F361" s="42"/>
      <c r="H361" s="20"/>
      <c r="I361" s="20"/>
      <c r="J361" s="20"/>
      <c r="O361" s="20"/>
    </row>
    <row r="362" spans="1:15">
      <c r="A362" s="1"/>
      <c r="B362" s="1"/>
      <c r="C362" s="41"/>
      <c r="E362" s="42"/>
      <c r="F362" s="42"/>
      <c r="H362" s="20"/>
      <c r="I362" s="20"/>
      <c r="J362" s="20"/>
      <c r="O362" s="20"/>
    </row>
    <row r="363" spans="1:15">
      <c r="A363" s="1"/>
      <c r="B363" s="1"/>
      <c r="C363" s="41"/>
      <c r="E363" s="42"/>
      <c r="F363" s="42"/>
      <c r="H363" s="20"/>
      <c r="I363" s="20"/>
      <c r="J363" s="20"/>
      <c r="O363" s="20"/>
    </row>
    <row r="364" spans="1:15">
      <c r="A364" s="1"/>
      <c r="B364" s="1"/>
      <c r="C364" s="41"/>
      <c r="E364" s="42"/>
      <c r="F364" s="42"/>
      <c r="H364" s="20"/>
      <c r="I364" s="20"/>
      <c r="J364" s="20"/>
      <c r="O364" s="20"/>
    </row>
    <row r="365" spans="1:15">
      <c r="A365" s="1"/>
      <c r="B365" s="1"/>
      <c r="C365" s="41"/>
      <c r="E365" s="42"/>
      <c r="F365" s="42"/>
      <c r="H365" s="20"/>
      <c r="I365" s="20"/>
      <c r="J365" s="20"/>
      <c r="O365" s="20"/>
    </row>
    <row r="366" spans="1:15">
      <c r="A366" s="1"/>
      <c r="B366" s="1"/>
      <c r="C366" s="41"/>
      <c r="E366" s="42"/>
      <c r="F366" s="42"/>
      <c r="H366" s="20"/>
      <c r="I366" s="20"/>
      <c r="J366" s="20"/>
      <c r="O366" s="20"/>
    </row>
    <row r="367" spans="1:15">
      <c r="A367" s="1"/>
      <c r="B367" s="1"/>
      <c r="C367" s="41"/>
      <c r="E367" s="42"/>
      <c r="F367" s="42"/>
      <c r="H367" s="20"/>
      <c r="I367" s="20"/>
      <c r="J367" s="20"/>
      <c r="O367" s="20"/>
    </row>
    <row r="368" spans="1:15">
      <c r="A368" s="1"/>
      <c r="B368" s="1"/>
      <c r="C368" s="41"/>
      <c r="E368" s="42"/>
      <c r="F368" s="42"/>
      <c r="H368" s="20"/>
      <c r="I368" s="20"/>
      <c r="J368" s="20"/>
      <c r="O368" s="20"/>
    </row>
    <row r="369" spans="1:15">
      <c r="A369" s="1"/>
      <c r="B369" s="1"/>
      <c r="C369" s="41"/>
      <c r="E369" s="42"/>
      <c r="F369" s="42"/>
      <c r="H369" s="20"/>
      <c r="I369" s="20"/>
      <c r="J369" s="20"/>
      <c r="O369" s="20"/>
    </row>
    <row r="370" spans="1:15">
      <c r="A370" s="1"/>
      <c r="B370" s="1"/>
      <c r="C370" s="41"/>
      <c r="E370" s="42"/>
      <c r="F370" s="42"/>
      <c r="H370" s="20"/>
      <c r="I370" s="20"/>
      <c r="J370" s="20"/>
      <c r="O370" s="20"/>
    </row>
    <row r="371" spans="1:15">
      <c r="A371" s="1"/>
      <c r="B371" s="1"/>
      <c r="C371" s="41"/>
      <c r="E371" s="42"/>
      <c r="F371" s="42"/>
      <c r="H371" s="20"/>
      <c r="I371" s="20"/>
      <c r="J371" s="20"/>
      <c r="O371" s="20"/>
    </row>
    <row r="372" spans="1:15">
      <c r="A372" s="1"/>
      <c r="B372" s="1"/>
      <c r="C372" s="41"/>
      <c r="E372" s="42"/>
      <c r="F372" s="42"/>
      <c r="H372" s="20"/>
      <c r="I372" s="20"/>
      <c r="J372" s="20"/>
      <c r="O372" s="20"/>
    </row>
    <row r="373" spans="1:15">
      <c r="A373" s="1"/>
      <c r="B373" s="1"/>
      <c r="C373" s="41"/>
      <c r="E373" s="42"/>
      <c r="F373" s="42"/>
      <c r="H373" s="20"/>
      <c r="I373" s="20"/>
      <c r="J373" s="20"/>
      <c r="O373" s="20"/>
    </row>
    <row r="374" spans="1:15">
      <c r="A374" s="1"/>
      <c r="B374" s="1"/>
      <c r="C374" s="41"/>
      <c r="E374" s="42"/>
      <c r="F374" s="42"/>
      <c r="H374" s="20"/>
      <c r="I374" s="20"/>
      <c r="J374" s="20"/>
      <c r="O374" s="20"/>
    </row>
    <row r="375" spans="1:15">
      <c r="A375" s="1"/>
      <c r="B375" s="1"/>
      <c r="C375" s="41"/>
      <c r="E375" s="42"/>
      <c r="F375" s="42"/>
      <c r="H375" s="20"/>
      <c r="I375" s="20"/>
      <c r="J375" s="20"/>
      <c r="O375" s="20"/>
    </row>
    <row r="376" spans="1:15">
      <c r="A376" s="1"/>
      <c r="B376" s="1"/>
      <c r="C376" s="41"/>
      <c r="E376" s="42"/>
      <c r="F376" s="42"/>
      <c r="H376" s="20"/>
      <c r="I376" s="20"/>
      <c r="J376" s="20"/>
      <c r="O376" s="20"/>
    </row>
    <row r="377" spans="1:15">
      <c r="A377" s="1"/>
      <c r="B377" s="1"/>
      <c r="C377" s="41"/>
      <c r="E377" s="42"/>
      <c r="F377" s="42"/>
      <c r="H377" s="20"/>
      <c r="I377" s="20"/>
      <c r="J377" s="20"/>
      <c r="O377" s="20"/>
    </row>
    <row r="378" spans="1:15">
      <c r="A378" s="1"/>
      <c r="B378" s="1"/>
      <c r="C378" s="41"/>
      <c r="E378" s="42"/>
      <c r="F378" s="42"/>
      <c r="H378" s="20"/>
      <c r="I378" s="20"/>
      <c r="J378" s="20"/>
      <c r="O378" s="20"/>
    </row>
    <row r="379" spans="1:15">
      <c r="A379" s="1"/>
      <c r="B379" s="1"/>
      <c r="C379" s="41"/>
      <c r="E379" s="42"/>
      <c r="F379" s="42"/>
      <c r="H379" s="20"/>
      <c r="I379" s="20"/>
      <c r="J379" s="20"/>
      <c r="O379" s="20"/>
    </row>
    <row r="380" spans="1:15">
      <c r="A380" s="1"/>
      <c r="B380" s="1"/>
      <c r="C380" s="41"/>
      <c r="E380" s="42"/>
      <c r="F380" s="42"/>
      <c r="H380" s="20"/>
      <c r="I380" s="20"/>
      <c r="J380" s="20"/>
      <c r="O380" s="20"/>
    </row>
    <row r="381" spans="1:15">
      <c r="A381" s="1"/>
      <c r="B381" s="1"/>
      <c r="C381" s="41"/>
      <c r="E381" s="42"/>
      <c r="F381" s="42"/>
      <c r="H381" s="20"/>
      <c r="I381" s="20"/>
      <c r="J381" s="20"/>
      <c r="O381" s="20"/>
    </row>
    <row r="382" spans="1:15">
      <c r="A382" s="1"/>
      <c r="B382" s="1"/>
      <c r="C382" s="41"/>
      <c r="E382" s="42"/>
      <c r="F382" s="42"/>
      <c r="H382" s="20"/>
      <c r="I382" s="20"/>
      <c r="J382" s="20"/>
      <c r="O382" s="20"/>
    </row>
    <row r="383" spans="1:15">
      <c r="A383" s="1"/>
      <c r="B383" s="1"/>
      <c r="C383" s="41"/>
      <c r="E383" s="42"/>
      <c r="F383" s="42"/>
      <c r="H383" s="20"/>
      <c r="I383" s="20"/>
      <c r="J383" s="20"/>
      <c r="O383" s="20"/>
    </row>
    <row r="384" spans="1:15">
      <c r="A384" s="1"/>
      <c r="B384" s="1"/>
      <c r="C384" s="41"/>
      <c r="E384" s="42"/>
      <c r="F384" s="42"/>
      <c r="H384" s="20"/>
      <c r="I384" s="20"/>
      <c r="J384" s="20"/>
      <c r="O384" s="20"/>
    </row>
    <row r="385" spans="1:15">
      <c r="A385" s="1"/>
      <c r="B385" s="1"/>
      <c r="C385" s="41"/>
      <c r="E385" s="42"/>
      <c r="F385" s="42"/>
      <c r="H385" s="20"/>
      <c r="I385" s="20"/>
      <c r="J385" s="20"/>
      <c r="O385" s="20"/>
    </row>
    <row r="386" spans="1:15">
      <c r="A386" s="1"/>
      <c r="B386" s="1"/>
      <c r="C386" s="41"/>
      <c r="E386" s="42"/>
      <c r="F386" s="42"/>
      <c r="H386" s="20"/>
      <c r="I386" s="20"/>
      <c r="J386" s="20"/>
      <c r="O386" s="20"/>
    </row>
    <row r="387" spans="1:15">
      <c r="A387" s="1"/>
      <c r="B387" s="1"/>
      <c r="C387" s="41"/>
      <c r="E387" s="42"/>
      <c r="F387" s="42"/>
      <c r="H387" s="20"/>
      <c r="I387" s="20"/>
      <c r="J387" s="20"/>
      <c r="O387" s="20"/>
    </row>
    <row r="388" spans="1:15">
      <c r="A388" s="1"/>
      <c r="B388" s="1"/>
      <c r="C388" s="41"/>
      <c r="E388" s="42"/>
      <c r="F388" s="42"/>
      <c r="H388" s="20"/>
      <c r="I388" s="20"/>
      <c r="J388" s="20"/>
      <c r="O388" s="20"/>
    </row>
    <row r="389" spans="1:15">
      <c r="A389" s="1"/>
      <c r="B389" s="1"/>
      <c r="C389" s="41"/>
      <c r="E389" s="42"/>
      <c r="F389" s="42"/>
      <c r="H389" s="20"/>
      <c r="I389" s="20"/>
      <c r="J389" s="20"/>
      <c r="O389" s="20"/>
    </row>
    <row r="390" spans="1:15">
      <c r="A390" s="1"/>
      <c r="B390" s="1"/>
      <c r="C390" s="41"/>
      <c r="E390" s="42"/>
      <c r="F390" s="42"/>
      <c r="H390" s="20"/>
      <c r="I390" s="20"/>
      <c r="J390" s="20"/>
      <c r="O390" s="20"/>
    </row>
    <row r="391" spans="1:15">
      <c r="A391" s="1"/>
      <c r="B391" s="1"/>
      <c r="C391" s="41"/>
      <c r="E391" s="42"/>
      <c r="F391" s="42"/>
      <c r="H391" s="20"/>
      <c r="I391" s="20"/>
      <c r="J391" s="20"/>
      <c r="O391" s="20"/>
    </row>
    <row r="392" spans="1:15">
      <c r="A392" s="1"/>
      <c r="B392" s="1"/>
      <c r="C392" s="41"/>
      <c r="E392" s="42"/>
      <c r="F392" s="42"/>
      <c r="H392" s="20"/>
      <c r="I392" s="20"/>
      <c r="J392" s="20"/>
      <c r="O392" s="20"/>
    </row>
    <row r="393" spans="1:15">
      <c r="A393" s="1"/>
      <c r="B393" s="1"/>
      <c r="C393" s="41"/>
      <c r="E393" s="42"/>
      <c r="F393" s="42"/>
      <c r="H393" s="20"/>
      <c r="I393" s="20"/>
      <c r="J393" s="20"/>
      <c r="O393" s="20"/>
    </row>
    <row r="394" spans="1:15">
      <c r="A394" s="1"/>
      <c r="B394" s="1"/>
      <c r="C394" s="41"/>
      <c r="E394" s="42"/>
      <c r="F394" s="42"/>
      <c r="H394" s="20"/>
      <c r="I394" s="20"/>
      <c r="J394" s="20"/>
      <c r="O394" s="20"/>
    </row>
    <row r="395" spans="1:15">
      <c r="A395" s="1"/>
      <c r="B395" s="1"/>
      <c r="C395" s="41"/>
      <c r="E395" s="42"/>
      <c r="F395" s="42"/>
      <c r="H395" s="20"/>
      <c r="I395" s="20"/>
      <c r="J395" s="20"/>
      <c r="O395" s="20"/>
    </row>
    <row r="396" spans="1:15">
      <c r="A396" s="1"/>
      <c r="B396" s="1"/>
      <c r="C396" s="41"/>
      <c r="E396" s="42"/>
      <c r="F396" s="42"/>
      <c r="H396" s="20"/>
      <c r="I396" s="20"/>
      <c r="J396" s="20"/>
      <c r="O396" s="20"/>
    </row>
    <row r="397" spans="1:15">
      <c r="A397" s="1"/>
      <c r="B397" s="1"/>
      <c r="C397" s="41"/>
      <c r="E397" s="42"/>
      <c r="F397" s="42"/>
      <c r="H397" s="20"/>
      <c r="I397" s="20"/>
      <c r="J397" s="20"/>
      <c r="O397" s="20"/>
    </row>
    <row r="398" spans="1:15">
      <c r="A398" s="1"/>
      <c r="B398" s="1"/>
      <c r="C398" s="41"/>
      <c r="E398" s="42"/>
      <c r="F398" s="42"/>
      <c r="H398" s="20"/>
      <c r="I398" s="20"/>
      <c r="J398" s="20"/>
      <c r="O398" s="20"/>
    </row>
    <row r="399" spans="1:15">
      <c r="A399" s="1"/>
      <c r="B399" s="1"/>
      <c r="C399" s="41"/>
      <c r="E399" s="42"/>
      <c r="F399" s="42"/>
      <c r="H399" s="20"/>
      <c r="I399" s="20"/>
      <c r="J399" s="20"/>
      <c r="O399" s="20"/>
    </row>
    <row r="400" spans="1:15">
      <c r="A400" s="1"/>
      <c r="B400" s="1"/>
      <c r="C400" s="41"/>
      <c r="E400" s="42"/>
      <c r="F400" s="42"/>
      <c r="H400" s="20"/>
      <c r="I400" s="20"/>
      <c r="J400" s="20"/>
      <c r="O400" s="20"/>
    </row>
    <row r="401" spans="1:15">
      <c r="A401" s="1"/>
      <c r="B401" s="1"/>
      <c r="C401" s="41"/>
      <c r="E401" s="42"/>
      <c r="F401" s="42"/>
      <c r="H401" s="20"/>
      <c r="I401" s="20"/>
      <c r="J401" s="20"/>
      <c r="O401" s="20"/>
    </row>
    <row r="402" spans="1:15">
      <c r="A402" s="1"/>
      <c r="B402" s="1"/>
      <c r="C402" s="41"/>
      <c r="E402" s="42"/>
      <c r="F402" s="42"/>
      <c r="H402" s="20"/>
      <c r="I402" s="20"/>
      <c r="J402" s="20"/>
      <c r="O402" s="20"/>
    </row>
    <row r="403" spans="1:15">
      <c r="A403" s="1"/>
      <c r="B403" s="1"/>
      <c r="C403" s="41"/>
      <c r="E403" s="42"/>
      <c r="F403" s="42"/>
      <c r="H403" s="20"/>
      <c r="I403" s="20"/>
      <c r="J403" s="20"/>
      <c r="O403" s="20"/>
    </row>
    <row r="404" spans="1:15">
      <c r="A404" s="1"/>
      <c r="B404" s="1"/>
      <c r="C404" s="41"/>
      <c r="E404" s="42"/>
      <c r="F404" s="42"/>
      <c r="H404" s="20"/>
      <c r="I404" s="20"/>
      <c r="J404" s="20"/>
      <c r="O404" s="20"/>
    </row>
    <row r="405" spans="1:15">
      <c r="A405" s="1"/>
      <c r="B405" s="1"/>
      <c r="C405" s="41"/>
      <c r="E405" s="42"/>
      <c r="F405" s="42"/>
      <c r="H405" s="20"/>
      <c r="I405" s="20"/>
      <c r="J405" s="20"/>
      <c r="O405" s="20"/>
    </row>
    <row r="406" spans="1:15">
      <c r="A406" s="1"/>
      <c r="B406" s="1"/>
      <c r="C406" s="41"/>
      <c r="E406" s="42"/>
      <c r="F406" s="42"/>
      <c r="H406" s="20"/>
      <c r="I406" s="20"/>
      <c r="J406" s="20"/>
      <c r="O406" s="20"/>
    </row>
    <row r="407" spans="1:15">
      <c r="A407" s="1"/>
      <c r="B407" s="1"/>
      <c r="C407" s="41"/>
      <c r="E407" s="42"/>
      <c r="F407" s="42"/>
      <c r="H407" s="20"/>
      <c r="I407" s="20"/>
      <c r="J407" s="20"/>
      <c r="O407" s="20"/>
    </row>
    <row r="408" spans="1:15">
      <c r="A408" s="1"/>
      <c r="B408" s="1"/>
      <c r="C408" s="41"/>
      <c r="E408" s="42"/>
      <c r="F408" s="42"/>
      <c r="H408" s="20"/>
      <c r="I408" s="20"/>
      <c r="J408" s="20"/>
      <c r="O408" s="20"/>
    </row>
    <row r="409" spans="1:15">
      <c r="A409" s="1"/>
      <c r="B409" s="1"/>
      <c r="C409" s="41"/>
      <c r="E409" s="42"/>
      <c r="F409" s="42"/>
      <c r="H409" s="20"/>
      <c r="I409" s="20"/>
      <c r="J409" s="20"/>
      <c r="O409" s="20"/>
    </row>
    <row r="410" spans="1:15">
      <c r="A410" s="1"/>
      <c r="B410" s="1"/>
      <c r="C410" s="41"/>
      <c r="E410" s="42"/>
      <c r="F410" s="42"/>
      <c r="H410" s="20"/>
      <c r="I410" s="20"/>
      <c r="J410" s="20"/>
      <c r="O410" s="20"/>
    </row>
    <row r="411" spans="1:15">
      <c r="A411" s="1"/>
      <c r="B411" s="1"/>
      <c r="C411" s="41"/>
      <c r="E411" s="42"/>
      <c r="F411" s="42"/>
      <c r="H411" s="20"/>
      <c r="I411" s="20"/>
      <c r="J411" s="20"/>
      <c r="O411" s="20"/>
    </row>
    <row r="412" spans="1:15">
      <c r="A412" s="1"/>
      <c r="B412" s="1"/>
      <c r="C412" s="41"/>
      <c r="E412" s="42"/>
      <c r="F412" s="42"/>
      <c r="H412" s="20"/>
      <c r="I412" s="20"/>
      <c r="J412" s="20"/>
      <c r="O412" s="20"/>
    </row>
    <row r="413" spans="1:15">
      <c r="A413" s="1"/>
      <c r="B413" s="1"/>
      <c r="C413" s="41"/>
      <c r="E413" s="42"/>
      <c r="F413" s="42"/>
      <c r="H413" s="20"/>
      <c r="I413" s="20"/>
      <c r="J413" s="20"/>
      <c r="O413" s="20"/>
    </row>
    <row r="414" spans="1:15">
      <c r="A414" s="1"/>
      <c r="B414" s="1"/>
      <c r="C414" s="41"/>
      <c r="E414" s="42"/>
      <c r="F414" s="42"/>
      <c r="H414" s="20"/>
      <c r="I414" s="20"/>
      <c r="J414" s="20"/>
      <c r="O414" s="20"/>
    </row>
    <row r="415" spans="1:15">
      <c r="A415" s="1"/>
      <c r="B415" s="1"/>
      <c r="C415" s="41"/>
      <c r="E415" s="42"/>
      <c r="F415" s="42"/>
      <c r="H415" s="20"/>
      <c r="I415" s="20"/>
      <c r="J415" s="20"/>
      <c r="O415" s="20"/>
    </row>
    <row r="416" spans="1:15">
      <c r="A416" s="1"/>
      <c r="B416" s="1"/>
      <c r="C416" s="41"/>
      <c r="E416" s="42"/>
      <c r="F416" s="42"/>
      <c r="H416" s="20"/>
      <c r="I416" s="20"/>
      <c r="J416" s="20"/>
      <c r="O416" s="20"/>
    </row>
    <row r="417" spans="1:15">
      <c r="A417" s="1"/>
      <c r="B417" s="1"/>
      <c r="C417" s="41"/>
      <c r="E417" s="42"/>
      <c r="F417" s="42"/>
      <c r="H417" s="20"/>
      <c r="I417" s="20"/>
      <c r="J417" s="20"/>
      <c r="O417" s="20"/>
    </row>
    <row r="418" spans="1:15">
      <c r="A418" s="1"/>
      <c r="B418" s="1"/>
      <c r="C418" s="41"/>
      <c r="E418" s="42"/>
      <c r="F418" s="42"/>
      <c r="H418" s="20"/>
      <c r="I418" s="20"/>
      <c r="J418" s="20"/>
      <c r="O418" s="20"/>
    </row>
    <row r="419" spans="1:15">
      <c r="A419" s="1"/>
      <c r="B419" s="1"/>
      <c r="C419" s="41"/>
      <c r="E419" s="42"/>
      <c r="F419" s="42"/>
      <c r="H419" s="20"/>
      <c r="I419" s="20"/>
      <c r="J419" s="20"/>
      <c r="O419" s="20"/>
    </row>
    <row r="420" spans="1:15">
      <c r="A420" s="1"/>
      <c r="B420" s="1"/>
      <c r="C420" s="41"/>
      <c r="E420" s="42"/>
      <c r="F420" s="42"/>
      <c r="H420" s="20"/>
      <c r="I420" s="20"/>
      <c r="J420" s="20"/>
      <c r="O420" s="20"/>
    </row>
    <row r="421" spans="1:15">
      <c r="A421" s="1"/>
      <c r="B421" s="1"/>
      <c r="C421" s="41"/>
      <c r="E421" s="42"/>
      <c r="F421" s="42"/>
      <c r="H421" s="20"/>
      <c r="I421" s="20"/>
      <c r="J421" s="20"/>
      <c r="O421" s="20"/>
    </row>
    <row r="422" spans="1:15">
      <c r="A422" s="1"/>
      <c r="B422" s="1"/>
      <c r="C422" s="41"/>
      <c r="E422" s="42"/>
      <c r="F422" s="42"/>
      <c r="H422" s="20"/>
      <c r="I422" s="20"/>
      <c r="J422" s="20"/>
      <c r="O422" s="20"/>
    </row>
    <row r="423" spans="1:15">
      <c r="A423" s="1"/>
      <c r="B423" s="1"/>
      <c r="C423" s="41"/>
      <c r="E423" s="42"/>
      <c r="F423" s="42"/>
      <c r="H423" s="20"/>
      <c r="I423" s="20"/>
      <c r="J423" s="20"/>
      <c r="O423" s="20"/>
    </row>
    <row r="424" spans="1:15">
      <c r="A424" s="1"/>
      <c r="B424" s="1"/>
      <c r="C424" s="41"/>
      <c r="E424" s="42"/>
      <c r="F424" s="42"/>
      <c r="H424" s="20"/>
      <c r="I424" s="20"/>
      <c r="J424" s="20"/>
      <c r="O424" s="20"/>
    </row>
    <row r="425" spans="1:15">
      <c r="A425" s="1"/>
      <c r="B425" s="1"/>
      <c r="C425" s="41"/>
      <c r="E425" s="42"/>
      <c r="F425" s="42"/>
      <c r="H425" s="20"/>
      <c r="I425" s="20"/>
      <c r="J425" s="20"/>
      <c r="O425" s="20"/>
    </row>
    <row r="426" spans="1:15">
      <c r="A426" s="1"/>
      <c r="B426" s="1"/>
      <c r="C426" s="41"/>
      <c r="E426" s="42"/>
      <c r="F426" s="42"/>
      <c r="H426" s="20"/>
      <c r="I426" s="20"/>
      <c r="J426" s="20"/>
      <c r="O426" s="20"/>
    </row>
    <row r="427" spans="1:15">
      <c r="A427" s="1"/>
      <c r="B427" s="1"/>
      <c r="C427" s="41"/>
      <c r="E427" s="42"/>
      <c r="F427" s="42"/>
      <c r="H427" s="20"/>
      <c r="I427" s="20"/>
      <c r="J427" s="20"/>
      <c r="O427" s="20"/>
    </row>
    <row r="428" spans="1:15">
      <c r="A428" s="1"/>
      <c r="B428" s="1"/>
      <c r="C428" s="41"/>
      <c r="E428" s="42"/>
      <c r="F428" s="42"/>
      <c r="H428" s="20"/>
      <c r="I428" s="20"/>
      <c r="J428" s="20"/>
      <c r="O428" s="20"/>
    </row>
    <row r="429" spans="1:15">
      <c r="A429" s="1"/>
      <c r="B429" s="1"/>
      <c r="C429" s="41"/>
      <c r="E429" s="42"/>
      <c r="F429" s="42"/>
      <c r="H429" s="20"/>
      <c r="I429" s="20"/>
      <c r="J429" s="20"/>
      <c r="O429" s="20"/>
    </row>
    <row r="430" spans="1:15">
      <c r="A430" s="1"/>
      <c r="B430" s="1"/>
      <c r="C430" s="41"/>
      <c r="E430" s="42"/>
      <c r="F430" s="42"/>
      <c r="H430" s="20"/>
      <c r="I430" s="20"/>
      <c r="J430" s="20"/>
      <c r="O430" s="20"/>
    </row>
    <row r="431" spans="1:15">
      <c r="A431" s="1"/>
      <c r="B431" s="1"/>
      <c r="C431" s="41"/>
      <c r="E431" s="42"/>
      <c r="F431" s="42"/>
      <c r="H431" s="20"/>
      <c r="I431" s="20"/>
      <c r="J431" s="20"/>
      <c r="O431" s="20"/>
    </row>
    <row r="432" spans="1:15">
      <c r="A432" s="1"/>
      <c r="B432" s="1"/>
      <c r="C432" s="41"/>
      <c r="E432" s="42"/>
      <c r="F432" s="42"/>
      <c r="H432" s="20"/>
      <c r="I432" s="20"/>
      <c r="J432" s="20"/>
      <c r="O432" s="20"/>
    </row>
    <row r="433" spans="1:15">
      <c r="A433" s="1"/>
      <c r="B433" s="1"/>
      <c r="C433" s="41"/>
      <c r="E433" s="42"/>
      <c r="F433" s="42"/>
      <c r="H433" s="20"/>
      <c r="I433" s="20"/>
      <c r="J433" s="20"/>
      <c r="O433" s="20"/>
    </row>
    <row r="434" spans="1:15">
      <c r="A434" s="1"/>
      <c r="B434" s="1"/>
      <c r="C434" s="41"/>
      <c r="E434" s="42"/>
      <c r="F434" s="42"/>
      <c r="H434" s="20"/>
      <c r="I434" s="20"/>
      <c r="J434" s="20"/>
      <c r="O434" s="20"/>
    </row>
    <row r="435" spans="1:15">
      <c r="A435" s="1"/>
      <c r="B435" s="1"/>
      <c r="C435" s="41"/>
      <c r="E435" s="42"/>
      <c r="F435" s="42"/>
      <c r="H435" s="20"/>
      <c r="I435" s="20"/>
      <c r="J435" s="20"/>
      <c r="O435" s="20"/>
    </row>
    <row r="436" spans="1:15">
      <c r="A436" s="1"/>
      <c r="B436" s="1"/>
      <c r="C436" s="41"/>
      <c r="E436" s="42"/>
      <c r="F436" s="42"/>
      <c r="H436" s="20"/>
      <c r="I436" s="20"/>
      <c r="J436" s="20"/>
      <c r="O436" s="20"/>
    </row>
    <row r="437" spans="1:15">
      <c r="A437" s="1"/>
      <c r="B437" s="1"/>
      <c r="C437" s="41"/>
      <c r="E437" s="42"/>
      <c r="F437" s="42"/>
      <c r="H437" s="20"/>
      <c r="I437" s="20"/>
      <c r="J437" s="20"/>
      <c r="O437" s="20"/>
    </row>
    <row r="438" spans="1:15">
      <c r="A438" s="1"/>
      <c r="B438" s="1"/>
      <c r="C438" s="41"/>
      <c r="E438" s="42"/>
      <c r="F438" s="42"/>
      <c r="H438" s="20"/>
      <c r="I438" s="20"/>
      <c r="J438" s="20"/>
      <c r="O438" s="20"/>
    </row>
    <row r="439" spans="1:15">
      <c r="A439" s="1"/>
      <c r="B439" s="1"/>
      <c r="C439" s="41"/>
      <c r="E439" s="42"/>
      <c r="F439" s="42"/>
      <c r="H439" s="20"/>
      <c r="I439" s="20"/>
      <c r="J439" s="20"/>
      <c r="O439" s="20"/>
    </row>
    <row r="440" spans="1:15">
      <c r="A440" s="1"/>
      <c r="B440" s="1"/>
      <c r="C440" s="41"/>
      <c r="E440" s="42"/>
      <c r="F440" s="42"/>
      <c r="H440" s="20"/>
      <c r="I440" s="20"/>
      <c r="J440" s="20"/>
      <c r="O440" s="20"/>
    </row>
    <row r="441" spans="1:15">
      <c r="A441" s="1"/>
      <c r="B441" s="1"/>
      <c r="C441" s="41"/>
      <c r="E441" s="42"/>
      <c r="F441" s="42"/>
      <c r="H441" s="20"/>
      <c r="I441" s="20"/>
      <c r="J441" s="20"/>
      <c r="O441" s="20"/>
    </row>
    <row r="442" spans="1:15">
      <c r="A442" s="1"/>
      <c r="B442" s="1"/>
      <c r="C442" s="41"/>
      <c r="E442" s="42"/>
      <c r="F442" s="42"/>
      <c r="H442" s="20"/>
      <c r="I442" s="20"/>
      <c r="J442" s="20"/>
      <c r="O442" s="20"/>
    </row>
    <row r="443" spans="1:15">
      <c r="A443" s="1"/>
      <c r="B443" s="1"/>
      <c r="C443" s="41"/>
      <c r="E443" s="42"/>
      <c r="F443" s="42"/>
      <c r="H443" s="20"/>
      <c r="I443" s="20"/>
      <c r="J443" s="20"/>
      <c r="O443" s="20"/>
    </row>
    <row r="444" spans="1:15">
      <c r="A444" s="1"/>
      <c r="B444" s="1"/>
      <c r="C444" s="41"/>
      <c r="E444" s="42"/>
      <c r="F444" s="42"/>
      <c r="H444" s="20"/>
      <c r="I444" s="20"/>
      <c r="J444" s="20"/>
      <c r="O444" s="20"/>
    </row>
    <row r="445" spans="1:15">
      <c r="A445" s="1"/>
      <c r="B445" s="1"/>
      <c r="C445" s="41"/>
      <c r="E445" s="42"/>
      <c r="F445" s="42"/>
      <c r="H445" s="20"/>
      <c r="I445" s="20"/>
      <c r="J445" s="20"/>
      <c r="O445" s="20"/>
    </row>
    <row r="446" spans="1:15">
      <c r="A446" s="1"/>
      <c r="B446" s="1"/>
      <c r="C446" s="41"/>
      <c r="E446" s="42"/>
      <c r="F446" s="42"/>
      <c r="H446" s="20"/>
      <c r="I446" s="20"/>
      <c r="J446" s="20"/>
      <c r="O446" s="20"/>
    </row>
    <row r="447" spans="1:15">
      <c r="A447" s="1"/>
      <c r="B447" s="1"/>
      <c r="C447" s="41"/>
      <c r="E447" s="42"/>
      <c r="F447" s="42"/>
      <c r="H447" s="20"/>
      <c r="I447" s="20"/>
      <c r="J447" s="20"/>
      <c r="O447" s="20"/>
    </row>
    <row r="448" spans="1:15">
      <c r="A448" s="1"/>
      <c r="B448" s="1"/>
      <c r="C448" s="41"/>
      <c r="E448" s="42"/>
      <c r="F448" s="42"/>
      <c r="H448" s="20"/>
      <c r="I448" s="20"/>
      <c r="J448" s="20"/>
      <c r="O448" s="20"/>
    </row>
    <row r="449" spans="1:15">
      <c r="A449" s="1"/>
      <c r="B449" s="1"/>
      <c r="C449" s="41"/>
      <c r="E449" s="42"/>
      <c r="F449" s="42"/>
      <c r="H449" s="20"/>
      <c r="I449" s="20"/>
      <c r="J449" s="20"/>
      <c r="O449" s="20"/>
    </row>
    <row r="450" spans="1:15">
      <c r="A450" s="1"/>
      <c r="B450" s="1"/>
      <c r="C450" s="41"/>
      <c r="E450" s="42"/>
      <c r="F450" s="42"/>
      <c r="H450" s="20"/>
      <c r="I450" s="20"/>
      <c r="J450" s="20"/>
      <c r="O450" s="20"/>
    </row>
    <row r="451" spans="1:15">
      <c r="A451" s="1"/>
      <c r="B451" s="1"/>
      <c r="C451" s="41"/>
      <c r="E451" s="42"/>
      <c r="F451" s="42"/>
      <c r="H451" s="20"/>
      <c r="I451" s="20"/>
      <c r="J451" s="20"/>
      <c r="O451" s="20"/>
    </row>
    <row r="452" spans="1:15">
      <c r="A452" s="1"/>
      <c r="B452" s="1"/>
      <c r="C452" s="41"/>
      <c r="E452" s="42"/>
      <c r="F452" s="42"/>
      <c r="H452" s="20"/>
      <c r="I452" s="20"/>
      <c r="J452" s="20"/>
      <c r="O452" s="20"/>
    </row>
    <row r="453" spans="1:15">
      <c r="A453" s="1"/>
      <c r="B453" s="1"/>
      <c r="C453" s="41"/>
      <c r="E453" s="42"/>
      <c r="F453" s="42"/>
      <c r="H453" s="20"/>
      <c r="I453" s="20"/>
      <c r="J453" s="20"/>
      <c r="O453" s="20"/>
    </row>
    <row r="454" spans="1:15">
      <c r="A454" s="1"/>
      <c r="B454" s="1"/>
      <c r="C454" s="41"/>
      <c r="E454" s="42"/>
      <c r="F454" s="42"/>
      <c r="H454" s="20"/>
      <c r="I454" s="20"/>
      <c r="J454" s="20"/>
      <c r="O454" s="20"/>
    </row>
    <row r="455" spans="1:15">
      <c r="A455" s="1"/>
      <c r="B455" s="1"/>
      <c r="C455" s="41"/>
      <c r="E455" s="42"/>
      <c r="F455" s="42"/>
      <c r="H455" s="20"/>
      <c r="I455" s="20"/>
      <c r="J455" s="20"/>
      <c r="O455" s="20"/>
    </row>
    <row r="456" spans="1:15">
      <c r="A456" s="1"/>
      <c r="B456" s="1"/>
      <c r="C456" s="41"/>
      <c r="E456" s="42"/>
      <c r="F456" s="42"/>
      <c r="H456" s="20"/>
      <c r="I456" s="20"/>
      <c r="J456" s="20"/>
      <c r="O456" s="20"/>
    </row>
    <row r="457" spans="1:15">
      <c r="A457" s="1"/>
      <c r="B457" s="1"/>
      <c r="C457" s="41"/>
      <c r="E457" s="42"/>
      <c r="F457" s="42"/>
      <c r="H457" s="20"/>
      <c r="I457" s="20"/>
      <c r="J457" s="20"/>
      <c r="O457" s="20"/>
    </row>
    <row r="458" spans="1:15">
      <c r="A458" s="1"/>
      <c r="B458" s="1"/>
      <c r="C458" s="41"/>
      <c r="E458" s="42"/>
      <c r="F458" s="42"/>
      <c r="H458" s="20"/>
      <c r="I458" s="20"/>
      <c r="J458" s="20"/>
      <c r="O458" s="20"/>
    </row>
    <row r="459" spans="1:15">
      <c r="A459" s="1"/>
      <c r="B459" s="1"/>
      <c r="C459" s="41"/>
      <c r="E459" s="42"/>
      <c r="F459" s="42"/>
      <c r="H459" s="20"/>
      <c r="I459" s="20"/>
      <c r="J459" s="20"/>
      <c r="O459" s="20"/>
    </row>
    <row r="460" spans="1:15">
      <c r="A460" s="1"/>
      <c r="B460" s="1"/>
      <c r="C460" s="41"/>
      <c r="E460" s="42"/>
      <c r="F460" s="42"/>
      <c r="H460" s="20"/>
      <c r="I460" s="20"/>
      <c r="J460" s="20"/>
      <c r="O460" s="20"/>
    </row>
    <row r="461" spans="1:15">
      <c r="A461" s="1"/>
      <c r="B461" s="1"/>
      <c r="C461" s="41"/>
      <c r="E461" s="42"/>
      <c r="F461" s="42"/>
      <c r="H461" s="20"/>
      <c r="I461" s="20"/>
      <c r="J461" s="20"/>
      <c r="O461" s="20"/>
    </row>
    <row r="462" spans="1:15">
      <c r="A462" s="1"/>
      <c r="B462" s="1"/>
      <c r="C462" s="41"/>
      <c r="E462" s="42"/>
      <c r="F462" s="42"/>
      <c r="H462" s="20"/>
      <c r="I462" s="20"/>
      <c r="J462" s="20"/>
      <c r="O462" s="20"/>
    </row>
    <row r="463" spans="1:15">
      <c r="A463" s="1"/>
      <c r="B463" s="1"/>
      <c r="C463" s="41"/>
      <c r="E463" s="42"/>
      <c r="F463" s="42"/>
      <c r="H463" s="20"/>
      <c r="I463" s="20"/>
      <c r="J463" s="20"/>
      <c r="O463" s="20"/>
    </row>
    <row r="464" spans="1:15">
      <c r="A464" s="1"/>
      <c r="B464" s="1"/>
      <c r="C464" s="41"/>
      <c r="E464" s="42"/>
      <c r="F464" s="42"/>
      <c r="H464" s="20"/>
      <c r="I464" s="20"/>
      <c r="J464" s="20"/>
      <c r="O464" s="20"/>
    </row>
    <row r="465" spans="1:15">
      <c r="A465" s="1"/>
      <c r="B465" s="1"/>
      <c r="C465" s="41"/>
      <c r="E465" s="42"/>
      <c r="F465" s="42"/>
      <c r="H465" s="20"/>
      <c r="I465" s="20"/>
      <c r="J465" s="20"/>
      <c r="O465" s="20"/>
    </row>
    <row r="466" spans="1:15">
      <c r="A466" s="1"/>
      <c r="B466" s="1"/>
      <c r="C466" s="41"/>
      <c r="E466" s="42"/>
      <c r="F466" s="42"/>
      <c r="H466" s="20"/>
      <c r="I466" s="20"/>
      <c r="J466" s="20"/>
      <c r="O466" s="20"/>
    </row>
    <row r="467" spans="1:15">
      <c r="A467" s="1"/>
      <c r="B467" s="1"/>
      <c r="C467" s="41"/>
      <c r="E467" s="42"/>
      <c r="F467" s="42"/>
      <c r="H467" s="20"/>
      <c r="I467" s="20"/>
      <c r="J467" s="20"/>
      <c r="O467" s="20"/>
    </row>
    <row r="468" spans="1:15">
      <c r="A468" s="1"/>
      <c r="B468" s="1"/>
      <c r="C468" s="41"/>
      <c r="E468" s="42"/>
      <c r="F468" s="42"/>
      <c r="H468" s="20"/>
      <c r="I468" s="20"/>
      <c r="J468" s="20"/>
      <c r="O468" s="20"/>
    </row>
    <row r="469" spans="1:15">
      <c r="A469" s="1"/>
      <c r="B469" s="1"/>
      <c r="C469" s="41"/>
      <c r="E469" s="42"/>
      <c r="F469" s="42"/>
      <c r="H469" s="20"/>
      <c r="I469" s="20"/>
      <c r="J469" s="20"/>
      <c r="O469" s="20"/>
    </row>
    <row r="470" spans="1:15">
      <c r="A470" s="1"/>
      <c r="B470" s="1"/>
      <c r="C470" s="41"/>
      <c r="E470" s="42"/>
      <c r="F470" s="42"/>
      <c r="H470" s="20"/>
      <c r="I470" s="20"/>
      <c r="J470" s="20"/>
      <c r="O470" s="20"/>
    </row>
    <row r="471" spans="1:15">
      <c r="A471" s="1"/>
      <c r="B471" s="1"/>
      <c r="C471" s="41"/>
      <c r="E471" s="42"/>
      <c r="F471" s="42"/>
      <c r="H471" s="20"/>
      <c r="I471" s="20"/>
      <c r="J471" s="20"/>
      <c r="O471" s="20"/>
    </row>
    <row r="472" spans="1:15">
      <c r="A472" s="1"/>
      <c r="B472" s="1"/>
      <c r="C472" s="41"/>
      <c r="E472" s="42"/>
      <c r="F472" s="42"/>
      <c r="H472" s="20"/>
      <c r="I472" s="20"/>
      <c r="J472" s="20"/>
      <c r="O472" s="20"/>
    </row>
    <row r="473" spans="1:15">
      <c r="A473" s="1"/>
      <c r="B473" s="1"/>
      <c r="C473" s="41"/>
      <c r="E473" s="42"/>
      <c r="F473" s="42"/>
      <c r="H473" s="20"/>
      <c r="I473" s="20"/>
      <c r="J473" s="20"/>
      <c r="O473" s="20"/>
    </row>
    <row r="474" spans="1:15">
      <c r="A474" s="1"/>
      <c r="B474" s="1"/>
      <c r="C474" s="41"/>
      <c r="E474" s="42"/>
      <c r="F474" s="42"/>
      <c r="H474" s="20"/>
      <c r="I474" s="20"/>
      <c r="J474" s="20"/>
      <c r="O474" s="20"/>
    </row>
    <row r="475" spans="1:15">
      <c r="A475" s="1"/>
      <c r="B475" s="1"/>
      <c r="C475" s="41"/>
      <c r="E475" s="42"/>
      <c r="F475" s="42"/>
      <c r="H475" s="20"/>
      <c r="I475" s="20"/>
      <c r="J475" s="20"/>
      <c r="O475" s="20"/>
    </row>
    <row r="476" spans="1:15">
      <c r="A476" s="1"/>
      <c r="B476" s="1"/>
      <c r="C476" s="41"/>
      <c r="E476" s="42"/>
      <c r="F476" s="42"/>
      <c r="H476" s="20"/>
      <c r="I476" s="20"/>
      <c r="J476" s="20"/>
      <c r="O476" s="20"/>
    </row>
    <row r="477" spans="1:15">
      <c r="A477" s="1"/>
      <c r="B477" s="1"/>
      <c r="C477" s="41"/>
      <c r="E477" s="42"/>
      <c r="F477" s="42"/>
      <c r="H477" s="20"/>
      <c r="I477" s="20"/>
      <c r="J477" s="20"/>
      <c r="O477" s="20"/>
    </row>
    <row r="478" spans="1:15">
      <c r="A478" s="1"/>
      <c r="B478" s="1"/>
      <c r="C478" s="41"/>
      <c r="E478" s="42"/>
      <c r="F478" s="42"/>
      <c r="H478" s="20"/>
      <c r="I478" s="20"/>
      <c r="J478" s="20"/>
      <c r="O478" s="20"/>
    </row>
    <row r="479" spans="1:15">
      <c r="A479" s="1"/>
      <c r="B479" s="1"/>
      <c r="C479" s="41"/>
      <c r="E479" s="42"/>
      <c r="F479" s="42"/>
      <c r="H479" s="20"/>
      <c r="I479" s="20"/>
      <c r="J479" s="20"/>
      <c r="O479" s="20"/>
    </row>
    <row r="480" spans="1:15">
      <c r="A480" s="1"/>
      <c r="B480" s="1"/>
      <c r="C480" s="41"/>
      <c r="E480" s="42"/>
      <c r="F480" s="42"/>
      <c r="H480" s="20"/>
      <c r="I480" s="20"/>
      <c r="J480" s="20"/>
      <c r="O480" s="20"/>
    </row>
    <row r="481" spans="1:15">
      <c r="A481" s="1"/>
      <c r="B481" s="1"/>
      <c r="C481" s="41"/>
      <c r="E481" s="42"/>
      <c r="F481" s="42"/>
      <c r="H481" s="20"/>
      <c r="I481" s="20"/>
      <c r="J481" s="20"/>
      <c r="O481" s="20"/>
    </row>
    <row r="482" spans="1:15">
      <c r="A482" s="1"/>
      <c r="B482" s="1"/>
      <c r="C482" s="41"/>
      <c r="E482" s="42"/>
      <c r="F482" s="42"/>
      <c r="H482" s="20"/>
      <c r="I482" s="20"/>
      <c r="J482" s="20"/>
      <c r="O482" s="20"/>
    </row>
    <row r="483" spans="1:15">
      <c r="A483" s="1"/>
      <c r="B483" s="1"/>
      <c r="C483" s="41"/>
      <c r="E483" s="42"/>
      <c r="F483" s="42"/>
      <c r="H483" s="20"/>
      <c r="I483" s="20"/>
      <c r="J483" s="20"/>
      <c r="O483" s="20"/>
    </row>
    <row r="484" spans="1:15">
      <c r="A484" s="1"/>
      <c r="B484" s="1"/>
      <c r="C484" s="41"/>
      <c r="E484" s="42"/>
      <c r="F484" s="42"/>
      <c r="H484" s="20"/>
      <c r="I484" s="20"/>
      <c r="J484" s="20"/>
      <c r="O484" s="20"/>
    </row>
    <row r="485" spans="1:15">
      <c r="A485" s="1"/>
      <c r="B485" s="1"/>
      <c r="C485" s="41"/>
      <c r="E485" s="42"/>
      <c r="F485" s="42"/>
      <c r="H485" s="20"/>
      <c r="I485" s="20"/>
      <c r="J485" s="20"/>
      <c r="O485" s="20"/>
    </row>
    <row r="486" spans="1:15">
      <c r="A486" s="1"/>
      <c r="B486" s="1"/>
      <c r="C486" s="41"/>
      <c r="E486" s="42"/>
      <c r="F486" s="42"/>
      <c r="H486" s="20"/>
      <c r="I486" s="20"/>
      <c r="J486" s="20"/>
      <c r="O486" s="20"/>
    </row>
    <row r="487" spans="1:15">
      <c r="A487" s="1"/>
      <c r="B487" s="1"/>
      <c r="C487" s="41"/>
      <c r="E487" s="42"/>
      <c r="F487" s="42"/>
      <c r="H487" s="20"/>
      <c r="I487" s="20"/>
      <c r="J487" s="20"/>
      <c r="O487" s="20"/>
    </row>
    <row r="488" spans="1:15">
      <c r="A488" s="1"/>
      <c r="B488" s="1"/>
      <c r="C488" s="41"/>
      <c r="E488" s="42"/>
      <c r="F488" s="42"/>
      <c r="H488" s="20"/>
      <c r="I488" s="20"/>
      <c r="J488" s="20"/>
      <c r="O488" s="20"/>
    </row>
    <row r="489" spans="1:15">
      <c r="A489" s="1"/>
      <c r="B489" s="1"/>
      <c r="C489" s="41"/>
      <c r="E489" s="42"/>
      <c r="F489" s="42"/>
      <c r="H489" s="20"/>
      <c r="I489" s="20"/>
      <c r="J489" s="20"/>
      <c r="O489" s="20"/>
    </row>
    <row r="490" spans="1:15">
      <c r="A490" s="1"/>
      <c r="B490" s="1"/>
      <c r="C490" s="41"/>
      <c r="E490" s="42"/>
      <c r="F490" s="42"/>
      <c r="H490" s="20"/>
      <c r="I490" s="20"/>
      <c r="J490" s="20"/>
      <c r="O490" s="20"/>
    </row>
    <row r="491" spans="1:15">
      <c r="A491" s="1"/>
      <c r="B491" s="1"/>
      <c r="C491" s="41"/>
      <c r="E491" s="42"/>
      <c r="F491" s="42"/>
      <c r="H491" s="20"/>
      <c r="I491" s="20"/>
      <c r="J491" s="20"/>
      <c r="O491" s="20"/>
    </row>
    <row r="492" spans="1:15">
      <c r="A492" s="1"/>
      <c r="B492" s="1"/>
      <c r="C492" s="41"/>
      <c r="E492" s="42"/>
      <c r="F492" s="42"/>
      <c r="H492" s="20"/>
      <c r="I492" s="20"/>
      <c r="J492" s="20"/>
      <c r="O492" s="20"/>
    </row>
    <row r="493" spans="1:15">
      <c r="A493" s="1"/>
      <c r="B493" s="1"/>
      <c r="C493" s="41"/>
      <c r="E493" s="42"/>
      <c r="F493" s="42"/>
      <c r="H493" s="20"/>
      <c r="I493" s="20"/>
      <c r="J493" s="20"/>
      <c r="O493" s="20"/>
    </row>
    <row r="494" spans="1:15">
      <c r="A494" s="1"/>
      <c r="B494" s="1"/>
      <c r="C494" s="41"/>
      <c r="E494" s="42"/>
      <c r="F494" s="42"/>
      <c r="H494" s="20"/>
      <c r="I494" s="20"/>
      <c r="J494" s="20"/>
      <c r="O494" s="20"/>
    </row>
    <row r="495" spans="1:15">
      <c r="A495" s="1"/>
      <c r="B495" s="1"/>
      <c r="C495" s="41"/>
      <c r="E495" s="42"/>
      <c r="F495" s="42"/>
      <c r="H495" s="20"/>
      <c r="I495" s="20"/>
      <c r="J495" s="20"/>
      <c r="O495" s="20"/>
    </row>
    <row r="496" spans="1:15">
      <c r="A496" s="1"/>
      <c r="B496" s="1"/>
      <c r="C496" s="41"/>
      <c r="E496" s="42"/>
      <c r="F496" s="42"/>
      <c r="H496" s="20"/>
      <c r="I496" s="20"/>
      <c r="J496" s="20"/>
      <c r="O496" s="20"/>
    </row>
    <row r="497" spans="1:15">
      <c r="A497" s="1"/>
      <c r="B497" s="1"/>
      <c r="C497" s="41"/>
      <c r="E497" s="42"/>
      <c r="F497" s="42"/>
      <c r="H497" s="20"/>
      <c r="I497" s="20"/>
      <c r="J497" s="20"/>
      <c r="O497" s="20"/>
    </row>
    <row r="498" spans="1:15">
      <c r="A498" s="1"/>
      <c r="B498" s="1"/>
      <c r="C498" s="41"/>
      <c r="E498" s="42"/>
      <c r="F498" s="42"/>
      <c r="H498" s="20"/>
      <c r="I498" s="20"/>
      <c r="J498" s="20"/>
      <c r="O498" s="20"/>
    </row>
    <row r="499" spans="1:15">
      <c r="A499" s="1"/>
      <c r="B499" s="1"/>
      <c r="C499" s="41"/>
      <c r="E499" s="42"/>
      <c r="F499" s="42"/>
      <c r="H499" s="20"/>
      <c r="I499" s="20"/>
      <c r="J499" s="20"/>
      <c r="O499" s="20"/>
    </row>
    <row r="500" spans="1:15">
      <c r="A500" s="1"/>
      <c r="B500" s="1"/>
      <c r="C500" s="41"/>
      <c r="E500" s="42"/>
      <c r="F500" s="42"/>
      <c r="H500" s="20"/>
      <c r="I500" s="20"/>
      <c r="J500" s="20"/>
      <c r="O500" s="20"/>
    </row>
    <row r="501" spans="1:15">
      <c r="A501" s="1"/>
      <c r="B501" s="1"/>
      <c r="C501" s="41"/>
      <c r="E501" s="42"/>
      <c r="F501" s="42"/>
      <c r="H501" s="20"/>
      <c r="I501" s="20"/>
      <c r="J501" s="20"/>
      <c r="O501" s="20"/>
    </row>
    <row r="502" spans="1:15">
      <c r="A502" s="1"/>
      <c r="B502" s="1"/>
      <c r="C502" s="41"/>
      <c r="E502" s="42"/>
      <c r="F502" s="42"/>
      <c r="H502" s="20"/>
      <c r="I502" s="20"/>
      <c r="J502" s="20"/>
      <c r="O502" s="20"/>
    </row>
    <row r="503" spans="1:15">
      <c r="A503" s="1"/>
      <c r="B503" s="1"/>
      <c r="C503" s="41"/>
      <c r="E503" s="42"/>
      <c r="F503" s="42"/>
      <c r="H503" s="20"/>
      <c r="I503" s="20"/>
      <c r="J503" s="20"/>
      <c r="O503" s="20"/>
    </row>
    <row r="504" spans="1:15">
      <c r="A504" s="1"/>
      <c r="B504" s="1"/>
      <c r="C504" s="41"/>
      <c r="E504" s="42"/>
      <c r="F504" s="42"/>
      <c r="H504" s="20"/>
      <c r="I504" s="20"/>
      <c r="J504" s="20"/>
      <c r="O504" s="20"/>
    </row>
    <row r="505" spans="1:15">
      <c r="A505" s="1"/>
      <c r="B505" s="1"/>
      <c r="C505" s="41"/>
      <c r="E505" s="42"/>
      <c r="F505" s="42"/>
      <c r="H505" s="20"/>
      <c r="I505" s="20"/>
      <c r="J505" s="20"/>
      <c r="O505" s="20"/>
    </row>
    <row r="506" spans="1:15">
      <c r="A506" s="1"/>
      <c r="B506" s="1"/>
      <c r="C506" s="41"/>
      <c r="E506" s="42"/>
      <c r="F506" s="42"/>
      <c r="H506" s="20"/>
      <c r="I506" s="20"/>
      <c r="J506" s="20"/>
      <c r="O506" s="20"/>
    </row>
    <row r="507" spans="1:15">
      <c r="A507" s="1"/>
      <c r="B507" s="1"/>
      <c r="C507" s="41"/>
      <c r="E507" s="42"/>
      <c r="F507" s="42"/>
      <c r="H507" s="20"/>
      <c r="I507" s="20"/>
      <c r="J507" s="20"/>
      <c r="O507" s="20"/>
    </row>
    <row r="508" spans="1:15">
      <c r="A508" s="1"/>
      <c r="B508" s="1"/>
      <c r="C508" s="41"/>
      <c r="E508" s="42"/>
      <c r="F508" s="42"/>
      <c r="H508" s="20"/>
      <c r="I508" s="20"/>
      <c r="J508" s="20"/>
      <c r="O508" s="20"/>
    </row>
    <row r="509" spans="1:15">
      <c r="A509" s="1"/>
      <c r="B509" s="1"/>
      <c r="C509" s="41"/>
      <c r="E509" s="42"/>
      <c r="F509" s="42"/>
      <c r="H509" s="20"/>
      <c r="I509" s="20"/>
      <c r="J509" s="20"/>
      <c r="O509" s="20"/>
    </row>
    <row r="510" spans="1:15">
      <c r="A510" s="1"/>
      <c r="B510" s="1"/>
      <c r="C510" s="41"/>
      <c r="E510" s="42"/>
      <c r="F510" s="42"/>
      <c r="H510" s="20"/>
      <c r="I510" s="20"/>
      <c r="J510" s="20"/>
      <c r="O510" s="20"/>
    </row>
    <row r="511" spans="1:15">
      <c r="A511" s="1"/>
      <c r="B511" s="1"/>
      <c r="C511" s="41"/>
      <c r="E511" s="42"/>
      <c r="F511" s="42"/>
      <c r="H511" s="20"/>
      <c r="I511" s="20"/>
      <c r="J511" s="20"/>
      <c r="O511" s="20"/>
    </row>
    <row r="512" spans="1:15">
      <c r="A512" s="1"/>
      <c r="B512" s="1"/>
      <c r="C512" s="41"/>
      <c r="E512" s="42"/>
      <c r="F512" s="42"/>
      <c r="H512" s="20"/>
      <c r="I512" s="20"/>
      <c r="J512" s="20"/>
      <c r="O512" s="20"/>
    </row>
    <row r="513" spans="1:15">
      <c r="A513" s="1"/>
      <c r="B513" s="1"/>
      <c r="C513" s="41"/>
      <c r="E513" s="42"/>
      <c r="F513" s="42"/>
      <c r="H513" s="20"/>
      <c r="I513" s="20"/>
      <c r="J513" s="20"/>
      <c r="O513" s="20"/>
    </row>
    <row r="514" spans="1:15">
      <c r="A514" s="1"/>
      <c r="B514" s="1"/>
      <c r="C514" s="41"/>
      <c r="E514" s="42"/>
      <c r="F514" s="42"/>
      <c r="H514" s="20"/>
      <c r="I514" s="20"/>
      <c r="J514" s="20"/>
      <c r="O514" s="20"/>
    </row>
    <row r="515" spans="1:15">
      <c r="A515" s="1"/>
      <c r="B515" s="1"/>
      <c r="C515" s="41"/>
      <c r="E515" s="42"/>
      <c r="F515" s="42"/>
      <c r="H515" s="20"/>
      <c r="I515" s="20"/>
      <c r="J515" s="20"/>
      <c r="O515" s="20"/>
    </row>
    <row r="516" spans="1:15">
      <c r="A516" s="1"/>
      <c r="B516" s="1"/>
      <c r="C516" s="41"/>
      <c r="E516" s="42"/>
      <c r="F516" s="42"/>
      <c r="H516" s="20"/>
      <c r="I516" s="20"/>
      <c r="J516" s="20"/>
      <c r="O516" s="20"/>
    </row>
    <row r="517" spans="1:15">
      <c r="A517" s="1"/>
      <c r="B517" s="1"/>
      <c r="C517" s="41"/>
      <c r="E517" s="42"/>
      <c r="F517" s="42"/>
      <c r="H517" s="20"/>
      <c r="I517" s="20"/>
      <c r="J517" s="20"/>
      <c r="O517" s="20"/>
    </row>
    <row r="518" spans="1:15">
      <c r="A518" s="1"/>
      <c r="B518" s="1"/>
      <c r="C518" s="41"/>
      <c r="E518" s="42"/>
      <c r="F518" s="42"/>
      <c r="H518" s="20"/>
      <c r="I518" s="20"/>
      <c r="J518" s="20"/>
      <c r="O518" s="20"/>
    </row>
    <row r="519" spans="1:15">
      <c r="A519" s="1"/>
      <c r="B519" s="1"/>
      <c r="C519" s="41"/>
      <c r="E519" s="42"/>
      <c r="F519" s="42"/>
      <c r="H519" s="20"/>
      <c r="I519" s="20"/>
      <c r="J519" s="20"/>
      <c r="O519" s="20"/>
    </row>
    <row r="520" spans="1:15">
      <c r="A520" s="1"/>
      <c r="B520" s="1"/>
      <c r="C520" s="41"/>
      <c r="E520" s="42"/>
      <c r="F520" s="42"/>
      <c r="H520" s="20"/>
      <c r="I520" s="20"/>
      <c r="J520" s="20"/>
      <c r="O520" s="20"/>
    </row>
    <row r="521" spans="1:15">
      <c r="A521" s="1"/>
      <c r="B521" s="1"/>
      <c r="C521" s="41"/>
      <c r="E521" s="42"/>
      <c r="F521" s="42"/>
      <c r="H521" s="20"/>
      <c r="I521" s="20"/>
      <c r="J521" s="20"/>
      <c r="O521" s="20"/>
    </row>
    <row r="522" spans="1:15">
      <c r="A522" s="1"/>
      <c r="B522" s="1"/>
      <c r="C522" s="41"/>
      <c r="E522" s="42"/>
      <c r="F522" s="42"/>
      <c r="H522" s="20"/>
      <c r="I522" s="20"/>
      <c r="J522" s="20"/>
      <c r="O522" s="20"/>
    </row>
    <row r="523" spans="1:15">
      <c r="A523" s="1"/>
      <c r="B523" s="1"/>
      <c r="C523" s="41"/>
      <c r="E523" s="42"/>
      <c r="F523" s="42"/>
      <c r="H523" s="20"/>
      <c r="I523" s="20"/>
      <c r="J523" s="20"/>
      <c r="O523" s="20"/>
    </row>
    <row r="524" spans="1:15">
      <c r="A524" s="1"/>
      <c r="B524" s="1"/>
      <c r="C524" s="41"/>
      <c r="E524" s="42"/>
      <c r="F524" s="42"/>
      <c r="H524" s="20"/>
      <c r="I524" s="20"/>
      <c r="J524" s="20"/>
      <c r="O524" s="20"/>
    </row>
    <row r="525" spans="1:15">
      <c r="A525" s="1"/>
      <c r="B525" s="1"/>
      <c r="C525" s="41"/>
      <c r="E525" s="42"/>
      <c r="F525" s="42"/>
      <c r="H525" s="20"/>
      <c r="I525" s="20"/>
      <c r="J525" s="20"/>
      <c r="O525" s="20"/>
    </row>
    <row r="526" spans="1:15">
      <c r="A526" s="1"/>
      <c r="B526" s="1"/>
      <c r="C526" s="41"/>
      <c r="E526" s="42"/>
      <c r="F526" s="42"/>
      <c r="H526" s="20"/>
      <c r="I526" s="20"/>
      <c r="J526" s="20"/>
      <c r="O526" s="20"/>
    </row>
    <row r="527" spans="1:15">
      <c r="A527" s="1"/>
      <c r="B527" s="1"/>
      <c r="C527" s="41"/>
      <c r="E527" s="42"/>
      <c r="F527" s="42"/>
      <c r="H527" s="20"/>
      <c r="I527" s="20"/>
      <c r="J527" s="20"/>
      <c r="O527" s="20"/>
    </row>
    <row r="528" spans="1:15">
      <c r="A528" s="1"/>
      <c r="B528" s="1"/>
      <c r="C528" s="41"/>
      <c r="E528" s="42"/>
      <c r="F528" s="42"/>
      <c r="H528" s="20"/>
      <c r="I528" s="20"/>
      <c r="J528" s="20"/>
      <c r="O528" s="20"/>
    </row>
    <row r="529" spans="1:15">
      <c r="A529" s="1"/>
      <c r="B529" s="1"/>
      <c r="C529" s="41"/>
      <c r="E529" s="42"/>
      <c r="F529" s="42"/>
      <c r="H529" s="20"/>
      <c r="I529" s="20"/>
      <c r="J529" s="20"/>
      <c r="O529" s="20"/>
    </row>
    <row r="530" spans="1:15">
      <c r="A530" s="1"/>
      <c r="B530" s="1"/>
      <c r="C530" s="41"/>
      <c r="E530" s="42"/>
      <c r="F530" s="42"/>
      <c r="H530" s="20"/>
      <c r="I530" s="20"/>
      <c r="J530" s="20"/>
      <c r="O530" s="20"/>
    </row>
    <row r="531" spans="1:15">
      <c r="A531" s="1"/>
      <c r="B531" s="1"/>
      <c r="C531" s="41"/>
      <c r="E531" s="42"/>
      <c r="F531" s="42"/>
      <c r="H531" s="20"/>
      <c r="I531" s="20"/>
      <c r="J531" s="20"/>
      <c r="O531" s="20"/>
    </row>
    <row r="532" spans="1:15">
      <c r="A532" s="1"/>
      <c r="B532" s="1"/>
      <c r="C532" s="41"/>
      <c r="E532" s="42"/>
      <c r="F532" s="42"/>
      <c r="H532" s="20"/>
      <c r="I532" s="20"/>
      <c r="J532" s="20"/>
      <c r="O532" s="20"/>
    </row>
    <row r="533" spans="1:15">
      <c r="A533" s="1"/>
      <c r="B533" s="1"/>
      <c r="C533" s="41"/>
      <c r="E533" s="42"/>
      <c r="F533" s="42"/>
      <c r="H533" s="20"/>
      <c r="I533" s="20"/>
      <c r="J533" s="20"/>
      <c r="O533" s="20"/>
    </row>
    <row r="534" spans="1:15">
      <c r="A534" s="1"/>
      <c r="B534" s="1"/>
      <c r="C534" s="41"/>
      <c r="E534" s="42"/>
      <c r="F534" s="42"/>
      <c r="H534" s="20"/>
      <c r="I534" s="20"/>
      <c r="J534" s="20"/>
      <c r="O534" s="20"/>
    </row>
    <row r="535" spans="1:15">
      <c r="A535" s="1"/>
      <c r="B535" s="1"/>
      <c r="C535" s="41"/>
      <c r="E535" s="42"/>
      <c r="F535" s="42"/>
      <c r="H535" s="20"/>
      <c r="I535" s="20"/>
      <c r="J535" s="20"/>
      <c r="O535" s="20"/>
    </row>
    <row r="536" spans="1:15">
      <c r="A536" s="1"/>
      <c r="B536" s="1"/>
      <c r="C536" s="41"/>
      <c r="E536" s="42"/>
      <c r="F536" s="42"/>
      <c r="H536" s="20"/>
      <c r="I536" s="20"/>
      <c r="J536" s="20"/>
      <c r="O536" s="20"/>
    </row>
    <row r="537" spans="1:15">
      <c r="A537" s="1"/>
      <c r="B537" s="1"/>
      <c r="C537" s="41"/>
      <c r="E537" s="42"/>
      <c r="F537" s="42"/>
      <c r="H537" s="20"/>
      <c r="I537" s="20"/>
      <c r="J537" s="20"/>
      <c r="O537" s="20"/>
    </row>
    <row r="538" spans="1:15">
      <c r="A538" s="1"/>
      <c r="B538" s="1"/>
      <c r="C538" s="41"/>
      <c r="E538" s="42"/>
      <c r="F538" s="42"/>
      <c r="H538" s="20"/>
      <c r="I538" s="20"/>
      <c r="J538" s="20"/>
      <c r="O538" s="20"/>
    </row>
    <row r="539" spans="1:15">
      <c r="A539" s="1"/>
      <c r="B539" s="1"/>
      <c r="C539" s="41"/>
      <c r="E539" s="42"/>
      <c r="F539" s="42"/>
      <c r="H539" s="20"/>
      <c r="I539" s="20"/>
      <c r="J539" s="20"/>
      <c r="O539" s="20"/>
    </row>
    <row r="540" spans="1:15">
      <c r="A540" s="1"/>
      <c r="B540" s="1"/>
      <c r="C540" s="41"/>
      <c r="E540" s="42"/>
      <c r="F540" s="42"/>
      <c r="H540" s="20"/>
      <c r="I540" s="20"/>
      <c r="J540" s="20"/>
      <c r="O540" s="20"/>
    </row>
    <row r="541" spans="1:15">
      <c r="A541" s="1"/>
      <c r="B541" s="1"/>
      <c r="C541" s="41"/>
      <c r="E541" s="42"/>
      <c r="F541" s="42"/>
      <c r="H541" s="20"/>
      <c r="I541" s="20"/>
      <c r="J541" s="20"/>
      <c r="O541" s="20"/>
    </row>
    <row r="542" spans="1:15">
      <c r="A542" s="1"/>
      <c r="B542" s="1"/>
      <c r="C542" s="41"/>
      <c r="E542" s="42"/>
      <c r="F542" s="42"/>
      <c r="H542" s="20"/>
      <c r="I542" s="20"/>
      <c r="J542" s="20"/>
      <c r="O542" s="20"/>
    </row>
    <row r="543" spans="1:15">
      <c r="A543" s="1"/>
      <c r="B543" s="1"/>
      <c r="C543" s="41"/>
      <c r="E543" s="42"/>
      <c r="F543" s="42"/>
      <c r="H543" s="20"/>
      <c r="I543" s="20"/>
      <c r="J543" s="20"/>
      <c r="O543" s="20"/>
    </row>
    <row r="544" spans="1:15">
      <c r="A544" s="1"/>
      <c r="B544" s="1"/>
      <c r="C544" s="41"/>
      <c r="E544" s="42"/>
      <c r="F544" s="42"/>
      <c r="H544" s="20"/>
      <c r="I544" s="20"/>
      <c r="J544" s="20"/>
      <c r="O544" s="20"/>
    </row>
    <row r="545" spans="1:15">
      <c r="A545" s="1"/>
      <c r="B545" s="1"/>
      <c r="C545" s="41"/>
      <c r="E545" s="42"/>
      <c r="F545" s="42"/>
      <c r="H545" s="20"/>
      <c r="I545" s="20"/>
      <c r="J545" s="20"/>
      <c r="O545" s="20"/>
    </row>
    <row r="546" spans="1:15">
      <c r="A546" s="1"/>
      <c r="B546" s="1"/>
      <c r="C546" s="41"/>
      <c r="E546" s="42"/>
      <c r="F546" s="42"/>
      <c r="H546" s="20"/>
      <c r="I546" s="20"/>
      <c r="J546" s="20"/>
      <c r="O546" s="20"/>
    </row>
    <row r="547" spans="1:15">
      <c r="A547" s="1"/>
      <c r="B547" s="1"/>
      <c r="C547" s="41"/>
      <c r="E547" s="42"/>
      <c r="F547" s="42"/>
      <c r="H547" s="20"/>
      <c r="I547" s="20"/>
      <c r="J547" s="20"/>
      <c r="O547" s="20"/>
    </row>
    <row r="548" spans="1:15">
      <c r="A548" s="1"/>
      <c r="B548" s="1"/>
      <c r="C548" s="41"/>
      <c r="E548" s="42"/>
      <c r="F548" s="42"/>
      <c r="H548" s="20"/>
      <c r="I548" s="20"/>
      <c r="J548" s="20"/>
      <c r="O548" s="20"/>
    </row>
    <row r="549" spans="1:15">
      <c r="A549" s="1"/>
      <c r="B549" s="1"/>
      <c r="C549" s="41"/>
      <c r="E549" s="42"/>
      <c r="F549" s="42"/>
      <c r="H549" s="20"/>
      <c r="I549" s="20"/>
      <c r="J549" s="20"/>
      <c r="O549" s="20"/>
    </row>
    <row r="550" spans="1:15">
      <c r="A550" s="1"/>
      <c r="B550" s="1"/>
      <c r="C550" s="41"/>
      <c r="E550" s="42"/>
      <c r="F550" s="42"/>
      <c r="H550" s="20"/>
      <c r="I550" s="20"/>
      <c r="J550" s="20"/>
      <c r="O550" s="20"/>
    </row>
    <row r="551" spans="1:15">
      <c r="A551" s="1"/>
      <c r="B551" s="1"/>
      <c r="C551" s="41"/>
      <c r="E551" s="42"/>
      <c r="F551" s="42"/>
      <c r="H551" s="20"/>
      <c r="I551" s="20"/>
      <c r="J551" s="20"/>
      <c r="O551" s="20"/>
    </row>
    <row r="552" spans="1:15">
      <c r="A552" s="1"/>
      <c r="B552" s="1"/>
      <c r="C552" s="41"/>
      <c r="E552" s="42"/>
      <c r="F552" s="42"/>
      <c r="H552" s="20"/>
      <c r="I552" s="20"/>
      <c r="J552" s="20"/>
      <c r="O552" s="20"/>
    </row>
    <row r="553" spans="1:15">
      <c r="A553" s="1"/>
      <c r="B553" s="1"/>
      <c r="C553" s="41"/>
      <c r="E553" s="42"/>
      <c r="F553" s="42"/>
      <c r="H553" s="20"/>
      <c r="I553" s="20"/>
      <c r="J553" s="20"/>
      <c r="O553" s="20"/>
    </row>
    <row r="554" spans="1:15">
      <c r="A554" s="1"/>
      <c r="B554" s="1"/>
      <c r="C554" s="41"/>
      <c r="E554" s="42"/>
      <c r="F554" s="42"/>
      <c r="H554" s="20"/>
      <c r="I554" s="20"/>
      <c r="J554" s="20"/>
      <c r="O554" s="20"/>
    </row>
    <row r="555" spans="1:15">
      <c r="A555" s="1"/>
      <c r="B555" s="1"/>
      <c r="C555" s="41"/>
      <c r="E555" s="42"/>
      <c r="F555" s="42"/>
      <c r="H555" s="20"/>
      <c r="I555" s="20"/>
      <c r="J555" s="20"/>
      <c r="O555" s="20"/>
    </row>
    <row r="556" spans="1:15">
      <c r="A556" s="1"/>
      <c r="B556" s="1"/>
      <c r="C556" s="41"/>
      <c r="E556" s="42"/>
      <c r="F556" s="42"/>
      <c r="H556" s="20"/>
      <c r="I556" s="20"/>
      <c r="J556" s="20"/>
      <c r="O556" s="20"/>
    </row>
    <row r="557" spans="1:15">
      <c r="A557" s="1"/>
      <c r="B557" s="1"/>
      <c r="C557" s="41"/>
      <c r="E557" s="42"/>
      <c r="F557" s="42"/>
      <c r="H557" s="20"/>
      <c r="I557" s="20"/>
      <c r="J557" s="20"/>
      <c r="O557" s="20"/>
    </row>
    <row r="558" spans="1:15">
      <c r="A558" s="1"/>
      <c r="B558" s="1"/>
      <c r="C558" s="41"/>
      <c r="E558" s="42"/>
      <c r="F558" s="42"/>
      <c r="H558" s="20"/>
      <c r="I558" s="20"/>
      <c r="J558" s="20"/>
      <c r="O558" s="20"/>
    </row>
    <row r="559" spans="1:15">
      <c r="A559" s="1"/>
      <c r="B559" s="1"/>
      <c r="C559" s="41"/>
      <c r="E559" s="42"/>
      <c r="F559" s="42"/>
      <c r="H559" s="20"/>
      <c r="I559" s="20"/>
      <c r="J559" s="20"/>
      <c r="O559" s="20"/>
    </row>
    <row r="560" spans="1:15">
      <c r="A560" s="1"/>
      <c r="B560" s="1"/>
      <c r="C560" s="41"/>
      <c r="E560" s="42"/>
      <c r="F560" s="42"/>
      <c r="H560" s="20"/>
      <c r="I560" s="20"/>
      <c r="J560" s="20"/>
      <c r="O560" s="20"/>
    </row>
    <row r="561" spans="1:15">
      <c r="A561" s="1"/>
      <c r="B561" s="1"/>
      <c r="C561" s="41"/>
      <c r="E561" s="42"/>
      <c r="F561" s="42"/>
      <c r="H561" s="20"/>
      <c r="I561" s="20"/>
      <c r="J561" s="20"/>
      <c r="O561" s="20"/>
    </row>
    <row r="562" spans="1:15">
      <c r="A562" s="1"/>
      <c r="B562" s="1"/>
      <c r="C562" s="41"/>
      <c r="E562" s="42"/>
      <c r="F562" s="42"/>
      <c r="H562" s="20"/>
      <c r="I562" s="20"/>
      <c r="J562" s="20"/>
      <c r="O562" s="20"/>
    </row>
    <row r="563" spans="1:15">
      <c r="A563" s="1"/>
      <c r="B563" s="1"/>
      <c r="C563" s="41"/>
      <c r="E563" s="42"/>
      <c r="F563" s="42"/>
      <c r="H563" s="20"/>
      <c r="I563" s="20"/>
      <c r="J563" s="20"/>
      <c r="O563" s="20"/>
    </row>
    <row r="564" spans="1:15">
      <c r="A564" s="1"/>
      <c r="B564" s="1"/>
      <c r="C564" s="41"/>
      <c r="E564" s="42"/>
      <c r="F564" s="42"/>
      <c r="H564" s="20"/>
      <c r="I564" s="20"/>
      <c r="J564" s="20"/>
      <c r="O564" s="20"/>
    </row>
    <row r="565" spans="1:15">
      <c r="A565" s="1"/>
      <c r="B565" s="1"/>
      <c r="C565" s="41"/>
      <c r="E565" s="42"/>
      <c r="F565" s="42"/>
      <c r="H565" s="20"/>
      <c r="I565" s="20"/>
      <c r="J565" s="20"/>
      <c r="O565" s="20"/>
    </row>
    <row r="566" spans="1:15">
      <c r="A566" s="1"/>
      <c r="B566" s="1"/>
      <c r="C566" s="41"/>
      <c r="E566" s="42"/>
      <c r="F566" s="42"/>
      <c r="H566" s="20"/>
      <c r="I566" s="20"/>
      <c r="J566" s="20"/>
      <c r="O566" s="20"/>
    </row>
    <row r="567" spans="1:15">
      <c r="A567" s="1"/>
      <c r="B567" s="1"/>
      <c r="C567" s="41"/>
      <c r="E567" s="42"/>
      <c r="F567" s="42"/>
      <c r="H567" s="20"/>
      <c r="I567" s="20"/>
      <c r="J567" s="20"/>
      <c r="O567" s="20"/>
    </row>
    <row r="568" spans="1:15">
      <c r="A568" s="1"/>
      <c r="B568" s="1"/>
      <c r="C568" s="41"/>
      <c r="E568" s="42"/>
      <c r="F568" s="42"/>
      <c r="H568" s="20"/>
      <c r="I568" s="20"/>
      <c r="J568" s="20"/>
      <c r="O568" s="20"/>
    </row>
    <row r="569" spans="1:15">
      <c r="A569" s="1"/>
      <c r="B569" s="1"/>
      <c r="C569" s="41"/>
      <c r="E569" s="42"/>
      <c r="F569" s="42"/>
      <c r="H569" s="20"/>
      <c r="I569" s="20"/>
      <c r="J569" s="20"/>
      <c r="O569" s="20"/>
    </row>
    <row r="570" spans="1:15">
      <c r="A570" s="1"/>
      <c r="B570" s="1"/>
      <c r="C570" s="41"/>
      <c r="E570" s="42"/>
      <c r="F570" s="42"/>
      <c r="H570" s="20"/>
      <c r="I570" s="20"/>
      <c r="J570" s="20"/>
      <c r="O570" s="20"/>
    </row>
    <row r="571" spans="1:15">
      <c r="A571" s="1"/>
      <c r="B571" s="1"/>
      <c r="C571" s="41"/>
      <c r="E571" s="42"/>
      <c r="F571" s="42"/>
      <c r="H571" s="20"/>
      <c r="I571" s="20"/>
      <c r="J571" s="20"/>
      <c r="O571" s="20"/>
    </row>
    <row r="572" spans="1:15">
      <c r="A572" s="1"/>
      <c r="B572" s="1"/>
      <c r="C572" s="41"/>
      <c r="E572" s="42"/>
      <c r="F572" s="42"/>
      <c r="H572" s="20"/>
      <c r="I572" s="20"/>
      <c r="J572" s="20"/>
      <c r="O572" s="20"/>
    </row>
    <row r="573" spans="1:15">
      <c r="A573" s="1"/>
      <c r="B573" s="1"/>
      <c r="C573" s="41"/>
      <c r="E573" s="42"/>
      <c r="F573" s="42"/>
      <c r="H573" s="20"/>
      <c r="I573" s="20"/>
      <c r="J573" s="20"/>
      <c r="O573" s="20"/>
    </row>
    <row r="574" spans="1:15">
      <c r="A574" s="1"/>
      <c r="B574" s="1"/>
      <c r="C574" s="41"/>
      <c r="E574" s="42"/>
      <c r="F574" s="42"/>
      <c r="H574" s="20"/>
      <c r="I574" s="20"/>
      <c r="J574" s="20"/>
      <c r="O574" s="20"/>
    </row>
    <row r="575" spans="1:15">
      <c r="A575" s="1"/>
      <c r="B575" s="1"/>
      <c r="C575" s="41"/>
      <c r="E575" s="42"/>
      <c r="F575" s="42"/>
      <c r="H575" s="20"/>
      <c r="I575" s="20"/>
      <c r="J575" s="20"/>
      <c r="O575" s="20"/>
    </row>
    <row r="576" spans="1:15">
      <c r="A576" s="1"/>
      <c r="B576" s="1"/>
      <c r="C576" s="41"/>
      <c r="E576" s="42"/>
      <c r="F576" s="42"/>
      <c r="H576" s="20"/>
      <c r="I576" s="20"/>
      <c r="J576" s="20"/>
      <c r="O576" s="20"/>
    </row>
    <row r="577" spans="1:15">
      <c r="A577" s="1"/>
      <c r="B577" s="1"/>
      <c r="C577" s="41"/>
      <c r="E577" s="42"/>
      <c r="F577" s="42"/>
      <c r="H577" s="20"/>
      <c r="I577" s="20"/>
      <c r="J577" s="20"/>
      <c r="O577" s="20"/>
    </row>
    <row r="578" spans="1:15">
      <c r="A578" s="1"/>
      <c r="B578" s="1"/>
      <c r="C578" s="41"/>
      <c r="E578" s="42"/>
      <c r="F578" s="42"/>
      <c r="H578" s="20"/>
      <c r="I578" s="20"/>
      <c r="J578" s="20"/>
      <c r="O578" s="20"/>
    </row>
    <row r="579" spans="1:15">
      <c r="A579" s="1"/>
      <c r="B579" s="1"/>
      <c r="C579" s="41"/>
      <c r="E579" s="42"/>
      <c r="F579" s="42"/>
      <c r="H579" s="20"/>
      <c r="I579" s="20"/>
      <c r="J579" s="20"/>
      <c r="O579" s="20"/>
    </row>
    <row r="580" spans="1:15">
      <c r="A580" s="1"/>
      <c r="B580" s="1"/>
      <c r="C580" s="41"/>
      <c r="E580" s="42"/>
      <c r="F580" s="42"/>
      <c r="H580" s="20"/>
      <c r="I580" s="20"/>
      <c r="J580" s="20"/>
      <c r="O580" s="20"/>
    </row>
    <row r="581" spans="1:15">
      <c r="A581" s="1"/>
      <c r="B581" s="1"/>
      <c r="C581" s="41"/>
      <c r="E581" s="42"/>
      <c r="F581" s="42"/>
      <c r="H581" s="20"/>
      <c r="I581" s="20"/>
      <c r="J581" s="20"/>
      <c r="O581" s="20"/>
    </row>
    <row r="582" spans="1:15">
      <c r="A582" s="1"/>
      <c r="B582" s="1"/>
      <c r="C582" s="41"/>
      <c r="E582" s="42"/>
      <c r="F582" s="42"/>
      <c r="H582" s="20"/>
      <c r="I582" s="20"/>
      <c r="J582" s="20"/>
      <c r="O582" s="20"/>
    </row>
    <row r="583" spans="1:15">
      <c r="A583" s="1"/>
      <c r="B583" s="1"/>
      <c r="C583" s="41"/>
      <c r="E583" s="42"/>
      <c r="F583" s="42"/>
      <c r="H583" s="20"/>
      <c r="I583" s="20"/>
      <c r="J583" s="20"/>
      <c r="O583" s="20"/>
    </row>
    <row r="584" spans="1:15">
      <c r="A584" s="1"/>
      <c r="B584" s="1"/>
      <c r="C584" s="41"/>
      <c r="E584" s="42"/>
      <c r="F584" s="42"/>
      <c r="H584" s="20"/>
      <c r="I584" s="20"/>
      <c r="J584" s="20"/>
      <c r="O584" s="20"/>
    </row>
    <row r="585" spans="1:15">
      <c r="A585" s="1"/>
      <c r="B585" s="1"/>
      <c r="C585" s="41"/>
      <c r="E585" s="42"/>
      <c r="F585" s="42"/>
      <c r="H585" s="20"/>
      <c r="I585" s="20"/>
      <c r="J585" s="20"/>
      <c r="O585" s="20"/>
    </row>
    <row r="586" spans="1:15">
      <c r="A586" s="1"/>
      <c r="B586" s="1"/>
      <c r="C586" s="41"/>
      <c r="E586" s="42"/>
      <c r="F586" s="42"/>
      <c r="H586" s="20"/>
      <c r="I586" s="20"/>
      <c r="J586" s="20"/>
      <c r="O586" s="20"/>
    </row>
    <row r="587" spans="1:15">
      <c r="A587" s="1"/>
      <c r="B587" s="1"/>
      <c r="C587" s="41"/>
      <c r="E587" s="42"/>
      <c r="F587" s="42"/>
      <c r="H587" s="20"/>
      <c r="I587" s="20"/>
      <c r="J587" s="20"/>
      <c r="O587" s="20"/>
    </row>
    <row r="588" spans="1:15">
      <c r="A588" s="1"/>
      <c r="B588" s="1"/>
      <c r="C588" s="41"/>
      <c r="E588" s="42"/>
      <c r="F588" s="42"/>
      <c r="H588" s="20"/>
      <c r="I588" s="20"/>
      <c r="J588" s="20"/>
      <c r="O588" s="20"/>
    </row>
    <row r="589" spans="1:15">
      <c r="A589" s="1"/>
      <c r="B589" s="1"/>
      <c r="C589" s="41"/>
      <c r="E589" s="42"/>
      <c r="F589" s="42"/>
      <c r="H589" s="20"/>
      <c r="I589" s="20"/>
      <c r="J589" s="20"/>
      <c r="O589" s="20"/>
    </row>
    <row r="590" spans="1:15">
      <c r="A590" s="1"/>
      <c r="B590" s="1"/>
      <c r="C590" s="41"/>
      <c r="E590" s="42"/>
      <c r="F590" s="42"/>
      <c r="H590" s="20"/>
      <c r="I590" s="20"/>
      <c r="J590" s="20"/>
      <c r="O590" s="20"/>
    </row>
    <row r="591" spans="1:15">
      <c r="A591" s="1"/>
      <c r="B591" s="1"/>
      <c r="C591" s="41"/>
      <c r="E591" s="42"/>
      <c r="F591" s="42"/>
      <c r="H591" s="20"/>
      <c r="I591" s="20"/>
      <c r="J591" s="20"/>
      <c r="O591" s="20"/>
    </row>
    <row r="592" spans="1:15">
      <c r="A592" s="1"/>
      <c r="B592" s="1"/>
      <c r="C592" s="41"/>
      <c r="E592" s="42"/>
      <c r="F592" s="42"/>
      <c r="H592" s="20"/>
      <c r="I592" s="20"/>
      <c r="J592" s="20"/>
      <c r="O592" s="20"/>
    </row>
    <row r="593" spans="1:15">
      <c r="A593" s="1"/>
      <c r="B593" s="1"/>
      <c r="C593" s="41"/>
      <c r="E593" s="42"/>
      <c r="F593" s="42"/>
      <c r="H593" s="20"/>
      <c r="I593" s="20"/>
      <c r="J593" s="20"/>
      <c r="O593" s="20"/>
    </row>
    <row r="594" spans="1:15">
      <c r="A594" s="1"/>
      <c r="B594" s="1"/>
      <c r="C594" s="41"/>
      <c r="E594" s="42"/>
      <c r="F594" s="42"/>
      <c r="H594" s="20"/>
      <c r="I594" s="20"/>
      <c r="J594" s="20"/>
      <c r="O594" s="20"/>
    </row>
    <row r="595" spans="1:15">
      <c r="A595" s="1"/>
      <c r="B595" s="1"/>
      <c r="C595" s="41"/>
      <c r="E595" s="42"/>
      <c r="F595" s="42"/>
      <c r="H595" s="20"/>
      <c r="I595" s="20"/>
      <c r="J595" s="20"/>
      <c r="O595" s="20"/>
    </row>
    <row r="596" spans="1:15">
      <c r="A596" s="1"/>
      <c r="B596" s="1"/>
      <c r="C596" s="41"/>
      <c r="E596" s="42"/>
      <c r="F596" s="42"/>
      <c r="H596" s="20"/>
      <c r="I596" s="20"/>
      <c r="J596" s="20"/>
      <c r="O596" s="20"/>
    </row>
    <row r="597" spans="1:15">
      <c r="A597" s="1"/>
      <c r="B597" s="1"/>
      <c r="C597" s="41"/>
      <c r="E597" s="42"/>
      <c r="F597" s="42"/>
      <c r="H597" s="20"/>
      <c r="I597" s="20"/>
      <c r="J597" s="20"/>
      <c r="O597" s="20"/>
    </row>
    <row r="598" spans="1:15">
      <c r="A598" s="1"/>
      <c r="B598" s="1"/>
      <c r="C598" s="41"/>
      <c r="E598" s="42"/>
      <c r="F598" s="42"/>
      <c r="H598" s="20"/>
      <c r="I598" s="20"/>
      <c r="J598" s="20"/>
      <c r="O598" s="20"/>
    </row>
    <row r="599" spans="1:15">
      <c r="A599" s="1"/>
      <c r="B599" s="1"/>
      <c r="C599" s="41"/>
      <c r="E599" s="42"/>
      <c r="F599" s="42"/>
      <c r="H599" s="20"/>
      <c r="I599" s="20"/>
      <c r="J599" s="20"/>
      <c r="O599" s="20"/>
    </row>
    <row r="600" spans="1:15">
      <c r="A600" s="1"/>
      <c r="B600" s="1"/>
      <c r="C600" s="41"/>
      <c r="E600" s="42"/>
      <c r="F600" s="42"/>
      <c r="H600" s="20"/>
      <c r="I600" s="20"/>
      <c r="J600" s="20"/>
      <c r="O600" s="20"/>
    </row>
    <row r="601" spans="1:15">
      <c r="A601" s="1"/>
      <c r="B601" s="1"/>
      <c r="C601" s="41"/>
      <c r="E601" s="42"/>
      <c r="F601" s="42"/>
      <c r="H601" s="20"/>
      <c r="I601" s="20"/>
      <c r="J601" s="20"/>
      <c r="O601" s="20"/>
    </row>
    <row r="602" spans="1:15">
      <c r="A602" s="1"/>
      <c r="B602" s="1"/>
      <c r="C602" s="41"/>
      <c r="E602" s="42"/>
      <c r="F602" s="42"/>
      <c r="H602" s="20"/>
      <c r="I602" s="20"/>
      <c r="J602" s="20"/>
      <c r="O602" s="20"/>
    </row>
    <row r="603" spans="1:15">
      <c r="A603" s="1"/>
      <c r="B603" s="1"/>
      <c r="C603" s="41"/>
      <c r="E603" s="42"/>
      <c r="F603" s="42"/>
      <c r="H603" s="20"/>
      <c r="I603" s="20"/>
      <c r="J603" s="20"/>
      <c r="O603" s="20"/>
    </row>
    <row r="604" spans="1:15">
      <c r="A604" s="1"/>
      <c r="B604" s="1"/>
      <c r="C604" s="41"/>
      <c r="E604" s="42"/>
      <c r="F604" s="42"/>
      <c r="H604" s="20"/>
      <c r="I604" s="20"/>
      <c r="J604" s="20"/>
      <c r="O604" s="20"/>
    </row>
    <row r="605" spans="1:15">
      <c r="A605" s="1"/>
      <c r="B605" s="1"/>
      <c r="C605" s="41"/>
      <c r="E605" s="42"/>
      <c r="F605" s="42"/>
      <c r="H605" s="20"/>
      <c r="I605" s="20"/>
      <c r="J605" s="20"/>
      <c r="O605" s="20"/>
    </row>
    <row r="606" spans="1:15">
      <c r="A606" s="1"/>
      <c r="B606" s="1"/>
      <c r="C606" s="41"/>
      <c r="E606" s="42"/>
      <c r="F606" s="42"/>
      <c r="H606" s="20"/>
      <c r="I606" s="20"/>
      <c r="J606" s="20"/>
      <c r="O606" s="20"/>
    </row>
    <row r="607" spans="1:15">
      <c r="A607" s="1"/>
      <c r="B607" s="1"/>
      <c r="C607" s="41"/>
      <c r="E607" s="42"/>
      <c r="F607" s="42"/>
      <c r="H607" s="20"/>
      <c r="I607" s="20"/>
      <c r="J607" s="20"/>
      <c r="O607" s="20"/>
    </row>
    <row r="608" spans="1:15">
      <c r="A608" s="1"/>
      <c r="B608" s="1"/>
      <c r="C608" s="41"/>
      <c r="E608" s="42"/>
      <c r="F608" s="42"/>
      <c r="H608" s="20"/>
      <c r="I608" s="20"/>
      <c r="J608" s="20"/>
      <c r="O608" s="20"/>
    </row>
    <row r="609" spans="1:15">
      <c r="A609" s="1"/>
      <c r="B609" s="1"/>
      <c r="C609" s="41"/>
      <c r="E609" s="42"/>
      <c r="F609" s="42"/>
      <c r="H609" s="20"/>
      <c r="I609" s="20"/>
      <c r="J609" s="20"/>
      <c r="O609" s="20"/>
    </row>
    <row r="610" spans="1:15">
      <c r="A610" s="1"/>
      <c r="B610" s="1"/>
      <c r="C610" s="41"/>
      <c r="E610" s="42"/>
      <c r="F610" s="42"/>
      <c r="H610" s="20"/>
      <c r="I610" s="20"/>
      <c r="J610" s="20"/>
      <c r="O610" s="20"/>
    </row>
    <row r="611" spans="1:15">
      <c r="A611" s="1"/>
      <c r="B611" s="1"/>
      <c r="C611" s="41"/>
      <c r="E611" s="42"/>
      <c r="F611" s="42"/>
      <c r="H611" s="20"/>
      <c r="I611" s="20"/>
      <c r="J611" s="20"/>
      <c r="O611" s="20"/>
    </row>
    <row r="612" spans="1:15">
      <c r="A612" s="1"/>
      <c r="B612" s="1"/>
      <c r="C612" s="41"/>
      <c r="E612" s="42"/>
      <c r="F612" s="42"/>
      <c r="H612" s="20"/>
      <c r="I612" s="20"/>
      <c r="J612" s="20"/>
      <c r="O612" s="20"/>
    </row>
    <row r="613" spans="1:15">
      <c r="A613" s="1"/>
      <c r="B613" s="1"/>
      <c r="C613" s="41"/>
      <c r="E613" s="42"/>
      <c r="F613" s="42"/>
      <c r="H613" s="20"/>
      <c r="I613" s="20"/>
      <c r="J613" s="20"/>
      <c r="O613" s="20"/>
    </row>
    <row r="614" spans="1:15">
      <c r="A614" s="1"/>
      <c r="B614" s="1"/>
      <c r="C614" s="41"/>
      <c r="E614" s="42"/>
      <c r="F614" s="42"/>
      <c r="H614" s="20"/>
      <c r="I614" s="20"/>
      <c r="J614" s="20"/>
      <c r="O614" s="20"/>
    </row>
    <row r="615" spans="1:15">
      <c r="A615" s="1"/>
      <c r="B615" s="1"/>
      <c r="C615" s="41"/>
      <c r="E615" s="42"/>
      <c r="F615" s="42"/>
      <c r="H615" s="20"/>
      <c r="I615" s="20"/>
      <c r="J615" s="20"/>
      <c r="O615" s="20"/>
    </row>
    <row r="616" spans="1:15">
      <c r="A616" s="1"/>
      <c r="B616" s="1"/>
      <c r="C616" s="41"/>
      <c r="E616" s="42"/>
      <c r="F616" s="42"/>
      <c r="H616" s="20"/>
      <c r="I616" s="20"/>
      <c r="J616" s="20"/>
      <c r="O616" s="20"/>
    </row>
    <row r="617" spans="1:15">
      <c r="A617" s="1"/>
      <c r="B617" s="1"/>
      <c r="C617" s="41"/>
      <c r="E617" s="42"/>
      <c r="F617" s="42"/>
      <c r="H617" s="20"/>
      <c r="I617" s="20"/>
      <c r="J617" s="20"/>
      <c r="O617" s="20"/>
    </row>
    <row r="618" spans="1:15">
      <c r="A618" s="1"/>
      <c r="B618" s="1"/>
      <c r="C618" s="41"/>
      <c r="E618" s="42"/>
      <c r="F618" s="42"/>
      <c r="H618" s="20"/>
      <c r="I618" s="20"/>
      <c r="J618" s="20"/>
      <c r="O618" s="20"/>
    </row>
    <row r="619" spans="1:15">
      <c r="A619" s="1"/>
      <c r="B619" s="1"/>
      <c r="C619" s="41"/>
      <c r="E619" s="42"/>
      <c r="F619" s="42"/>
      <c r="H619" s="20"/>
      <c r="I619" s="20"/>
      <c r="J619" s="20"/>
      <c r="O619" s="20"/>
    </row>
    <row r="620" spans="1:15">
      <c r="A620" s="1"/>
      <c r="B620" s="1"/>
      <c r="C620" s="41"/>
      <c r="E620" s="42"/>
      <c r="F620" s="42"/>
      <c r="H620" s="20"/>
      <c r="I620" s="20"/>
      <c r="J620" s="20"/>
      <c r="O620" s="20"/>
    </row>
    <row r="621" spans="1:15">
      <c r="A621" s="1"/>
      <c r="B621" s="1"/>
      <c r="C621" s="41"/>
      <c r="E621" s="42"/>
      <c r="F621" s="42"/>
      <c r="H621" s="20"/>
      <c r="I621" s="20"/>
      <c r="J621" s="20"/>
      <c r="O621" s="20"/>
    </row>
    <row r="622" spans="1:15">
      <c r="A622" s="1"/>
      <c r="B622" s="1"/>
      <c r="C622" s="41"/>
      <c r="E622" s="42"/>
      <c r="F622" s="42"/>
      <c r="H622" s="20"/>
      <c r="I622" s="20"/>
      <c r="J622" s="20"/>
      <c r="O622" s="20"/>
    </row>
    <row r="623" spans="1:15">
      <c r="A623" s="1"/>
      <c r="B623" s="1"/>
      <c r="C623" s="41"/>
      <c r="E623" s="42"/>
      <c r="F623" s="42"/>
      <c r="H623" s="20"/>
      <c r="I623" s="20"/>
      <c r="J623" s="20"/>
      <c r="O623" s="20"/>
    </row>
    <row r="624" spans="1:15">
      <c r="A624" s="1"/>
      <c r="B624" s="1"/>
      <c r="C624" s="41"/>
      <c r="E624" s="42"/>
      <c r="F624" s="42"/>
      <c r="H624" s="20"/>
      <c r="I624" s="20"/>
      <c r="J624" s="20"/>
      <c r="O624" s="20"/>
    </row>
    <row r="625" spans="1:15">
      <c r="A625" s="1"/>
      <c r="B625" s="1"/>
      <c r="C625" s="41"/>
      <c r="E625" s="42"/>
      <c r="F625" s="42"/>
      <c r="H625" s="20"/>
      <c r="I625" s="20"/>
      <c r="J625" s="20"/>
      <c r="O625" s="20"/>
    </row>
    <row r="626" spans="1:15">
      <c r="A626" s="1"/>
      <c r="B626" s="1"/>
      <c r="C626" s="41"/>
      <c r="E626" s="42"/>
      <c r="F626" s="42"/>
      <c r="H626" s="20"/>
      <c r="I626" s="20"/>
      <c r="J626" s="20"/>
      <c r="O626" s="20"/>
    </row>
    <row r="627" spans="1:15">
      <c r="A627" s="1"/>
      <c r="B627" s="1"/>
      <c r="C627" s="41"/>
      <c r="E627" s="42"/>
      <c r="F627" s="42"/>
      <c r="H627" s="20"/>
      <c r="I627" s="20"/>
      <c r="J627" s="20"/>
      <c r="O627" s="20"/>
    </row>
    <row r="628" spans="1:15">
      <c r="A628" s="1"/>
      <c r="B628" s="1"/>
      <c r="C628" s="41"/>
      <c r="E628" s="42"/>
      <c r="F628" s="42"/>
      <c r="H628" s="20"/>
      <c r="I628" s="20"/>
      <c r="J628" s="20"/>
      <c r="O628" s="20"/>
    </row>
    <row r="629" spans="1:15">
      <c r="A629" s="1"/>
      <c r="B629" s="1"/>
      <c r="C629" s="41"/>
      <c r="E629" s="42"/>
      <c r="F629" s="42"/>
      <c r="H629" s="20"/>
      <c r="I629" s="20"/>
      <c r="J629" s="20"/>
      <c r="O629" s="20"/>
    </row>
    <row r="630" spans="1:15">
      <c r="A630" s="1"/>
      <c r="B630" s="1"/>
      <c r="C630" s="41"/>
      <c r="E630" s="42"/>
      <c r="F630" s="42"/>
      <c r="H630" s="20"/>
      <c r="I630" s="20"/>
      <c r="J630" s="20"/>
      <c r="O630" s="20"/>
    </row>
    <row r="631" spans="1:15">
      <c r="A631" s="1"/>
      <c r="B631" s="1"/>
      <c r="C631" s="41"/>
      <c r="E631" s="42"/>
      <c r="F631" s="42"/>
      <c r="H631" s="20"/>
      <c r="I631" s="20"/>
      <c r="J631" s="20"/>
      <c r="O631" s="20"/>
    </row>
    <row r="632" spans="1:15">
      <c r="A632" s="1"/>
      <c r="B632" s="1"/>
      <c r="C632" s="41"/>
      <c r="E632" s="42"/>
      <c r="F632" s="42"/>
      <c r="H632" s="20"/>
      <c r="I632" s="20"/>
      <c r="J632" s="20"/>
      <c r="O632" s="20"/>
    </row>
    <row r="633" spans="1:15">
      <c r="A633" s="1"/>
      <c r="B633" s="1"/>
      <c r="C633" s="41"/>
      <c r="E633" s="42"/>
      <c r="F633" s="42"/>
      <c r="H633" s="20"/>
      <c r="I633" s="20"/>
      <c r="J633" s="20"/>
      <c r="O633" s="20"/>
    </row>
    <row r="634" spans="1:15">
      <c r="A634" s="1"/>
      <c r="B634" s="1"/>
      <c r="C634" s="41"/>
      <c r="E634" s="42"/>
      <c r="F634" s="42"/>
      <c r="H634" s="20"/>
      <c r="I634" s="20"/>
      <c r="J634" s="20"/>
      <c r="O634" s="20"/>
    </row>
    <row r="635" spans="1:15">
      <c r="A635" s="1"/>
      <c r="B635" s="1"/>
      <c r="C635" s="41"/>
      <c r="E635" s="42"/>
      <c r="F635" s="42"/>
      <c r="H635" s="20"/>
      <c r="I635" s="20"/>
      <c r="J635" s="20"/>
      <c r="O635" s="20"/>
    </row>
    <row r="636" spans="1:15">
      <c r="A636" s="1"/>
      <c r="B636" s="1"/>
      <c r="C636" s="41"/>
      <c r="E636" s="42"/>
      <c r="F636" s="42"/>
      <c r="H636" s="20"/>
      <c r="I636" s="20"/>
      <c r="J636" s="20"/>
      <c r="O636" s="20"/>
    </row>
    <row r="637" spans="1:15">
      <c r="A637" s="1"/>
      <c r="B637" s="1"/>
      <c r="C637" s="41"/>
      <c r="E637" s="42"/>
      <c r="F637" s="42"/>
      <c r="H637" s="20"/>
      <c r="I637" s="20"/>
      <c r="J637" s="20"/>
      <c r="O637" s="20"/>
    </row>
    <row r="638" spans="1:15">
      <c r="A638" s="1"/>
      <c r="B638" s="1"/>
      <c r="C638" s="41"/>
      <c r="E638" s="42"/>
      <c r="F638" s="42"/>
      <c r="H638" s="20"/>
      <c r="I638" s="20"/>
      <c r="J638" s="20"/>
      <c r="O638" s="20"/>
    </row>
    <row r="639" spans="1:15">
      <c r="A639" s="1"/>
      <c r="B639" s="1"/>
      <c r="C639" s="41"/>
      <c r="E639" s="42"/>
      <c r="F639" s="42"/>
      <c r="H639" s="20"/>
      <c r="I639" s="20"/>
      <c r="J639" s="20"/>
      <c r="O639" s="20"/>
    </row>
    <row r="640" spans="1:15">
      <c r="A640" s="1"/>
      <c r="B640" s="1"/>
      <c r="C640" s="41"/>
      <c r="E640" s="42"/>
      <c r="F640" s="42"/>
      <c r="H640" s="20"/>
      <c r="I640" s="20"/>
      <c r="J640" s="20"/>
      <c r="O640" s="20"/>
    </row>
    <row r="641" spans="1:15">
      <c r="A641" s="1"/>
      <c r="B641" s="1"/>
      <c r="C641" s="41"/>
      <c r="E641" s="42"/>
      <c r="F641" s="42"/>
      <c r="H641" s="20"/>
      <c r="I641" s="20"/>
      <c r="J641" s="20"/>
      <c r="O641" s="20"/>
    </row>
    <row r="642" spans="1:15">
      <c r="A642" s="1"/>
      <c r="B642" s="1"/>
      <c r="C642" s="41"/>
      <c r="E642" s="42"/>
      <c r="F642" s="42"/>
      <c r="H642" s="20"/>
      <c r="I642" s="20"/>
      <c r="J642" s="20"/>
      <c r="O642" s="20"/>
    </row>
    <row r="643" spans="1:15">
      <c r="A643" s="1"/>
      <c r="B643" s="1"/>
      <c r="C643" s="41"/>
      <c r="E643" s="42"/>
      <c r="F643" s="42"/>
      <c r="H643" s="20"/>
      <c r="I643" s="20"/>
      <c r="J643" s="20"/>
      <c r="O643" s="20"/>
    </row>
    <row r="644" spans="1:15">
      <c r="A644" s="1"/>
      <c r="B644" s="1"/>
      <c r="C644" s="41"/>
      <c r="E644" s="42"/>
      <c r="F644" s="42"/>
      <c r="H644" s="20"/>
      <c r="I644" s="20"/>
      <c r="J644" s="20"/>
      <c r="O644" s="20"/>
    </row>
    <row r="645" spans="1:15">
      <c r="A645" s="1"/>
      <c r="B645" s="1"/>
      <c r="C645" s="41"/>
      <c r="E645" s="42"/>
      <c r="F645" s="42"/>
      <c r="H645" s="20"/>
      <c r="I645" s="20"/>
      <c r="J645" s="20"/>
      <c r="O645" s="20"/>
    </row>
    <row r="646" spans="1:15">
      <c r="A646" s="1"/>
      <c r="B646" s="1"/>
      <c r="C646" s="41"/>
      <c r="E646" s="42"/>
      <c r="F646" s="42"/>
      <c r="H646" s="20"/>
      <c r="I646" s="20"/>
      <c r="J646" s="20"/>
      <c r="O646" s="20"/>
    </row>
    <row r="647" spans="1:15">
      <c r="A647" s="1"/>
      <c r="B647" s="1"/>
      <c r="C647" s="41"/>
      <c r="E647" s="42"/>
      <c r="F647" s="42"/>
      <c r="H647" s="20"/>
      <c r="I647" s="20"/>
      <c r="J647" s="20"/>
      <c r="O647" s="20"/>
    </row>
    <row r="648" spans="1:15">
      <c r="A648" s="1"/>
      <c r="B648" s="1"/>
      <c r="C648" s="41"/>
      <c r="E648" s="42"/>
      <c r="F648" s="42"/>
      <c r="H648" s="20"/>
      <c r="I648" s="20"/>
      <c r="J648" s="20"/>
      <c r="O648" s="20"/>
    </row>
    <row r="649" spans="1:15">
      <c r="A649" s="1"/>
      <c r="B649" s="1"/>
      <c r="C649" s="41"/>
      <c r="E649" s="42"/>
      <c r="F649" s="42"/>
      <c r="H649" s="20"/>
      <c r="I649" s="20"/>
      <c r="J649" s="20"/>
      <c r="O649" s="20"/>
    </row>
    <row r="650" spans="1:15">
      <c r="A650" s="1"/>
      <c r="B650" s="1"/>
      <c r="C650" s="41"/>
      <c r="E650" s="42"/>
      <c r="F650" s="42"/>
      <c r="H650" s="20"/>
      <c r="I650" s="20"/>
      <c r="J650" s="20"/>
      <c r="O650" s="20"/>
    </row>
    <row r="651" spans="1:15">
      <c r="A651" s="1"/>
      <c r="B651" s="1"/>
      <c r="C651" s="41"/>
      <c r="E651" s="42"/>
      <c r="F651" s="42"/>
      <c r="H651" s="20"/>
      <c r="I651" s="20"/>
      <c r="J651" s="20"/>
      <c r="O651" s="20"/>
    </row>
    <row r="652" spans="1:15">
      <c r="A652" s="1"/>
      <c r="B652" s="1"/>
      <c r="C652" s="41"/>
      <c r="E652" s="42"/>
      <c r="F652" s="42"/>
      <c r="H652" s="20"/>
      <c r="I652" s="20"/>
      <c r="J652" s="20"/>
      <c r="O652" s="20"/>
    </row>
    <row r="653" spans="1:15">
      <c r="A653" s="1"/>
      <c r="B653" s="1"/>
      <c r="C653" s="41"/>
      <c r="E653" s="42"/>
      <c r="F653" s="42"/>
      <c r="H653" s="20"/>
      <c r="I653" s="20"/>
      <c r="J653" s="20"/>
      <c r="O653" s="20"/>
    </row>
    <row r="654" spans="1:15">
      <c r="A654" s="1"/>
      <c r="B654" s="1"/>
      <c r="C654" s="41"/>
      <c r="E654" s="42"/>
      <c r="F654" s="42"/>
      <c r="H654" s="20"/>
      <c r="I654" s="20"/>
      <c r="J654" s="20"/>
      <c r="O654" s="20"/>
    </row>
    <row r="655" spans="1:15">
      <c r="A655" s="1"/>
      <c r="B655" s="1"/>
      <c r="C655" s="41"/>
      <c r="E655" s="42"/>
      <c r="F655" s="42"/>
      <c r="H655" s="20"/>
      <c r="I655" s="20"/>
      <c r="J655" s="20"/>
      <c r="O655" s="20"/>
    </row>
    <row r="656" spans="1:15">
      <c r="A656" s="1"/>
      <c r="B656" s="1"/>
      <c r="C656" s="41"/>
      <c r="E656" s="42"/>
      <c r="F656" s="42"/>
      <c r="H656" s="20"/>
      <c r="I656" s="20"/>
      <c r="J656" s="20"/>
      <c r="O656" s="20"/>
    </row>
    <row r="657" spans="1:15">
      <c r="A657" s="1"/>
      <c r="B657" s="1"/>
      <c r="C657" s="41"/>
      <c r="E657" s="42"/>
      <c r="F657" s="42"/>
      <c r="H657" s="20"/>
      <c r="I657" s="20"/>
      <c r="J657" s="20"/>
      <c r="O657" s="20"/>
    </row>
    <row r="658" spans="1:15">
      <c r="A658" s="1"/>
      <c r="B658" s="1"/>
      <c r="C658" s="41"/>
      <c r="E658" s="42"/>
      <c r="F658" s="42"/>
      <c r="H658" s="20"/>
      <c r="I658" s="20"/>
      <c r="J658" s="20"/>
      <c r="O658" s="20"/>
    </row>
    <row r="659" spans="1:15">
      <c r="A659" s="1"/>
      <c r="B659" s="1"/>
      <c r="C659" s="41"/>
      <c r="E659" s="42"/>
      <c r="F659" s="42"/>
      <c r="H659" s="20"/>
      <c r="I659" s="20"/>
      <c r="J659" s="20"/>
      <c r="O659" s="20"/>
    </row>
    <row r="660" spans="1:15">
      <c r="A660" s="1"/>
      <c r="B660" s="1"/>
      <c r="C660" s="41"/>
      <c r="E660" s="42"/>
      <c r="F660" s="42"/>
      <c r="H660" s="20"/>
      <c r="I660" s="20"/>
      <c r="J660" s="20"/>
      <c r="O660" s="20"/>
    </row>
    <row r="661" spans="1:15">
      <c r="A661" s="1"/>
      <c r="B661" s="1"/>
      <c r="C661" s="41"/>
      <c r="E661" s="42"/>
      <c r="F661" s="42"/>
      <c r="H661" s="20"/>
      <c r="I661" s="20"/>
      <c r="J661" s="20"/>
      <c r="O661" s="20"/>
    </row>
    <row r="662" spans="1:15">
      <c r="A662" s="1"/>
      <c r="B662" s="1"/>
      <c r="C662" s="41"/>
      <c r="E662" s="42"/>
      <c r="F662" s="42"/>
      <c r="H662" s="20"/>
      <c r="I662" s="20"/>
      <c r="J662" s="20"/>
      <c r="O662" s="20"/>
    </row>
    <row r="663" spans="1:15">
      <c r="A663" s="1"/>
      <c r="B663" s="1"/>
      <c r="C663" s="41"/>
      <c r="E663" s="42"/>
      <c r="F663" s="42"/>
      <c r="H663" s="20"/>
      <c r="I663" s="20"/>
      <c r="J663" s="20"/>
      <c r="O663" s="20"/>
    </row>
    <row r="664" spans="1:15">
      <c r="A664" s="1"/>
      <c r="B664" s="1"/>
      <c r="C664" s="41"/>
      <c r="E664" s="42"/>
      <c r="F664" s="42"/>
      <c r="H664" s="20"/>
      <c r="I664" s="20"/>
      <c r="J664" s="20"/>
      <c r="O664" s="20"/>
    </row>
    <row r="665" spans="1:15">
      <c r="A665" s="1"/>
      <c r="B665" s="1"/>
      <c r="C665" s="41"/>
      <c r="E665" s="42"/>
      <c r="F665" s="42"/>
      <c r="H665" s="20"/>
      <c r="I665" s="20"/>
      <c r="J665" s="20"/>
      <c r="O665" s="20"/>
    </row>
    <row r="666" spans="1:15">
      <c r="A666" s="1"/>
      <c r="B666" s="1"/>
      <c r="C666" s="41"/>
      <c r="E666" s="42"/>
      <c r="F666" s="42"/>
      <c r="H666" s="20"/>
      <c r="I666" s="20"/>
      <c r="J666" s="20"/>
      <c r="O666" s="20"/>
    </row>
    <row r="667" spans="1:15">
      <c r="A667" s="1"/>
      <c r="B667" s="1"/>
      <c r="C667" s="41"/>
      <c r="E667" s="42"/>
      <c r="F667" s="42"/>
      <c r="H667" s="20"/>
      <c r="I667" s="20"/>
      <c r="J667" s="20"/>
      <c r="O667" s="20"/>
    </row>
    <row r="668" spans="1:15">
      <c r="A668" s="1"/>
      <c r="B668" s="1"/>
      <c r="C668" s="41"/>
      <c r="E668" s="42"/>
      <c r="F668" s="42"/>
      <c r="H668" s="20"/>
      <c r="I668" s="20"/>
      <c r="J668" s="20"/>
      <c r="O668" s="20"/>
    </row>
    <row r="669" spans="1:15">
      <c r="A669" s="1"/>
      <c r="B669" s="1"/>
      <c r="C669" s="41"/>
      <c r="E669" s="42"/>
      <c r="F669" s="42"/>
      <c r="H669" s="20"/>
      <c r="I669" s="20"/>
      <c r="J669" s="20"/>
      <c r="O669" s="20"/>
    </row>
    <row r="670" spans="1:15">
      <c r="A670" s="1"/>
      <c r="B670" s="1"/>
      <c r="C670" s="41"/>
      <c r="E670" s="42"/>
      <c r="F670" s="42"/>
      <c r="H670" s="20"/>
      <c r="I670" s="20"/>
      <c r="J670" s="20"/>
      <c r="O670" s="20"/>
    </row>
    <row r="671" spans="1:15">
      <c r="A671" s="1"/>
      <c r="B671" s="1"/>
      <c r="C671" s="41"/>
      <c r="E671" s="42"/>
      <c r="F671" s="42"/>
      <c r="H671" s="20"/>
      <c r="I671" s="20"/>
      <c r="J671" s="20"/>
      <c r="O671" s="20"/>
    </row>
    <row r="672" spans="1:15">
      <c r="A672" s="1"/>
      <c r="B672" s="1"/>
      <c r="C672" s="41"/>
      <c r="E672" s="42"/>
      <c r="F672" s="42"/>
      <c r="H672" s="20"/>
      <c r="I672" s="20"/>
      <c r="J672" s="20"/>
      <c r="O672" s="20"/>
    </row>
    <row r="673" spans="1:15">
      <c r="A673" s="1"/>
      <c r="B673" s="1"/>
      <c r="C673" s="41"/>
      <c r="E673" s="42"/>
      <c r="F673" s="42"/>
      <c r="H673" s="20"/>
      <c r="I673" s="20"/>
      <c r="J673" s="20"/>
      <c r="O673" s="20"/>
    </row>
    <row r="674" spans="1:15">
      <c r="A674" s="1"/>
      <c r="B674" s="1"/>
      <c r="C674" s="41"/>
      <c r="E674" s="42"/>
      <c r="F674" s="42"/>
      <c r="H674" s="20"/>
      <c r="I674" s="20"/>
      <c r="J674" s="20"/>
      <c r="O674" s="20"/>
    </row>
    <row r="675" spans="1:15">
      <c r="A675" s="1"/>
      <c r="B675" s="1"/>
      <c r="C675" s="41"/>
      <c r="E675" s="42"/>
      <c r="F675" s="42"/>
      <c r="H675" s="20"/>
      <c r="I675" s="20"/>
      <c r="J675" s="20"/>
      <c r="O675" s="20"/>
    </row>
    <row r="676" spans="1:15">
      <c r="A676" s="1"/>
      <c r="B676" s="1"/>
      <c r="C676" s="41"/>
      <c r="E676" s="42"/>
      <c r="F676" s="42"/>
      <c r="H676" s="20"/>
      <c r="I676" s="20"/>
      <c r="J676" s="20"/>
      <c r="O676" s="20"/>
    </row>
    <row r="677" spans="1:15">
      <c r="A677" s="1"/>
      <c r="B677" s="1"/>
      <c r="C677" s="41"/>
      <c r="E677" s="42"/>
      <c r="F677" s="42"/>
      <c r="H677" s="20"/>
      <c r="I677" s="20"/>
      <c r="J677" s="20"/>
      <c r="O677" s="20"/>
    </row>
    <row r="678" spans="1:15">
      <c r="A678" s="1"/>
      <c r="B678" s="1"/>
      <c r="C678" s="41"/>
      <c r="E678" s="42"/>
      <c r="F678" s="42"/>
      <c r="H678" s="20"/>
      <c r="I678" s="20"/>
      <c r="J678" s="20"/>
      <c r="O678" s="20"/>
    </row>
    <row r="679" spans="1:15">
      <c r="A679" s="1"/>
      <c r="B679" s="1"/>
      <c r="C679" s="41"/>
      <c r="E679" s="42"/>
      <c r="F679" s="42"/>
      <c r="H679" s="20"/>
      <c r="I679" s="20"/>
      <c r="J679" s="20"/>
      <c r="O679" s="20"/>
    </row>
    <row r="680" spans="1:15">
      <c r="A680" s="1"/>
      <c r="B680" s="1"/>
      <c r="C680" s="41"/>
      <c r="E680" s="42"/>
      <c r="F680" s="42"/>
      <c r="H680" s="20"/>
      <c r="I680" s="20"/>
      <c r="J680" s="20"/>
      <c r="O680" s="20"/>
    </row>
    <row r="681" spans="1:15">
      <c r="A681" s="1"/>
      <c r="B681" s="1"/>
      <c r="C681" s="41"/>
      <c r="E681" s="42"/>
      <c r="F681" s="42"/>
      <c r="H681" s="20"/>
      <c r="I681" s="20"/>
      <c r="J681" s="20"/>
      <c r="O681" s="20"/>
    </row>
    <row r="682" spans="1:15">
      <c r="A682" s="1"/>
      <c r="B682" s="1"/>
      <c r="C682" s="41"/>
      <c r="E682" s="42"/>
      <c r="F682" s="42"/>
      <c r="H682" s="20"/>
      <c r="I682" s="20"/>
      <c r="J682" s="20"/>
      <c r="O682" s="20"/>
    </row>
    <row r="683" spans="1:15">
      <c r="A683" s="1"/>
      <c r="B683" s="1"/>
      <c r="C683" s="41"/>
      <c r="E683" s="42"/>
      <c r="F683" s="42"/>
      <c r="H683" s="20"/>
      <c r="I683" s="20"/>
      <c r="J683" s="20"/>
      <c r="O683" s="20"/>
    </row>
    <row r="684" spans="1:15">
      <c r="A684" s="1"/>
      <c r="B684" s="1"/>
      <c r="C684" s="41"/>
      <c r="E684" s="42"/>
      <c r="F684" s="42"/>
      <c r="H684" s="20"/>
      <c r="I684" s="20"/>
      <c r="J684" s="20"/>
      <c r="O684" s="20"/>
    </row>
    <row r="685" spans="1:15">
      <c r="A685" s="1"/>
      <c r="B685" s="1"/>
      <c r="C685" s="41"/>
      <c r="E685" s="42"/>
      <c r="F685" s="42"/>
      <c r="H685" s="20"/>
      <c r="I685" s="20"/>
      <c r="J685" s="20"/>
      <c r="O685" s="20"/>
    </row>
    <row r="686" spans="1:15">
      <c r="A686" s="1"/>
      <c r="B686" s="1"/>
      <c r="C686" s="41"/>
      <c r="E686" s="42"/>
      <c r="F686" s="42"/>
      <c r="H686" s="20"/>
      <c r="I686" s="20"/>
      <c r="J686" s="20"/>
      <c r="O686" s="20"/>
    </row>
    <row r="687" spans="1:15">
      <c r="A687" s="1"/>
      <c r="B687" s="1"/>
      <c r="C687" s="41"/>
      <c r="E687" s="42"/>
      <c r="F687" s="42"/>
      <c r="H687" s="20"/>
      <c r="I687" s="20"/>
      <c r="J687" s="20"/>
      <c r="O687" s="20"/>
    </row>
    <row r="688" spans="1:15">
      <c r="A688" s="1"/>
      <c r="B688" s="1"/>
      <c r="C688" s="41"/>
      <c r="E688" s="42"/>
      <c r="F688" s="42"/>
      <c r="H688" s="20"/>
      <c r="I688" s="20"/>
      <c r="J688" s="20"/>
      <c r="O688" s="20"/>
    </row>
    <row r="689" spans="1:15">
      <c r="A689" s="1"/>
      <c r="B689" s="1"/>
      <c r="C689" s="41"/>
      <c r="E689" s="42"/>
      <c r="F689" s="42"/>
      <c r="H689" s="20"/>
      <c r="I689" s="20"/>
      <c r="J689" s="20"/>
      <c r="O689" s="20"/>
    </row>
    <row r="690" spans="1:15">
      <c r="A690" s="1"/>
      <c r="B690" s="1"/>
      <c r="C690" s="41"/>
      <c r="E690" s="42"/>
      <c r="F690" s="42"/>
      <c r="H690" s="20"/>
      <c r="I690" s="20"/>
      <c r="J690" s="20"/>
      <c r="O690" s="20"/>
    </row>
    <row r="691" spans="1:15">
      <c r="A691" s="1"/>
      <c r="B691" s="1"/>
      <c r="C691" s="41"/>
      <c r="E691" s="42"/>
      <c r="F691" s="42"/>
      <c r="H691" s="20"/>
      <c r="I691" s="20"/>
      <c r="J691" s="20"/>
      <c r="O691" s="20"/>
    </row>
    <row r="692" spans="1:15">
      <c r="A692" s="1"/>
      <c r="B692" s="1"/>
      <c r="C692" s="41"/>
      <c r="E692" s="42"/>
      <c r="F692" s="42"/>
      <c r="H692" s="20"/>
      <c r="I692" s="20"/>
      <c r="J692" s="20"/>
      <c r="O692" s="20"/>
    </row>
    <row r="693" spans="1:15">
      <c r="A693" s="1"/>
      <c r="B693" s="1"/>
      <c r="C693" s="41"/>
      <c r="E693" s="42"/>
      <c r="F693" s="42"/>
      <c r="H693" s="20"/>
      <c r="I693" s="20"/>
      <c r="J693" s="20"/>
      <c r="O693" s="20"/>
    </row>
    <row r="694" spans="1:15">
      <c r="A694" s="1"/>
      <c r="B694" s="1"/>
      <c r="C694" s="41"/>
      <c r="E694" s="42"/>
      <c r="F694" s="42"/>
      <c r="H694" s="20"/>
      <c r="I694" s="20"/>
      <c r="J694" s="20"/>
      <c r="O694" s="20"/>
    </row>
    <row r="695" spans="1:15">
      <c r="A695" s="1"/>
      <c r="B695" s="1"/>
      <c r="C695" s="41"/>
      <c r="E695" s="42"/>
      <c r="F695" s="42"/>
      <c r="H695" s="20"/>
      <c r="I695" s="20"/>
      <c r="J695" s="20"/>
      <c r="O695" s="20"/>
    </row>
    <row r="696" spans="1:15">
      <c r="A696" s="1"/>
      <c r="B696" s="1"/>
      <c r="C696" s="41"/>
      <c r="E696" s="42"/>
      <c r="F696" s="42"/>
      <c r="H696" s="20"/>
      <c r="I696" s="20"/>
      <c r="J696" s="20"/>
      <c r="O696" s="20"/>
    </row>
    <row r="697" spans="1:15">
      <c r="A697" s="1"/>
      <c r="B697" s="1"/>
      <c r="C697" s="41"/>
      <c r="E697" s="42"/>
      <c r="F697" s="42"/>
      <c r="H697" s="20"/>
      <c r="I697" s="20"/>
      <c r="J697" s="20"/>
      <c r="O697" s="20"/>
    </row>
    <row r="698" spans="1:15">
      <c r="A698" s="1"/>
      <c r="B698" s="1"/>
      <c r="C698" s="41"/>
      <c r="E698" s="42"/>
      <c r="F698" s="42"/>
      <c r="H698" s="20"/>
      <c r="I698" s="20"/>
      <c r="J698" s="20"/>
      <c r="O698" s="20"/>
    </row>
    <row r="699" spans="1:15">
      <c r="A699" s="1"/>
      <c r="B699" s="1"/>
      <c r="C699" s="41"/>
      <c r="E699" s="42"/>
      <c r="F699" s="42"/>
      <c r="H699" s="20"/>
      <c r="I699" s="20"/>
      <c r="J699" s="20"/>
      <c r="O699" s="20"/>
    </row>
    <row r="700" spans="1:15">
      <c r="A700" s="1"/>
      <c r="B700" s="1"/>
      <c r="C700" s="41"/>
      <c r="E700" s="42"/>
      <c r="F700" s="42"/>
      <c r="H700" s="20"/>
      <c r="I700" s="20"/>
      <c r="J700" s="20"/>
      <c r="O700" s="20"/>
    </row>
    <row r="701" spans="1:15">
      <c r="A701" s="1"/>
      <c r="B701" s="1"/>
      <c r="C701" s="41"/>
      <c r="E701" s="42"/>
      <c r="F701" s="42"/>
      <c r="H701" s="20"/>
      <c r="I701" s="20"/>
      <c r="J701" s="20"/>
      <c r="O701" s="20"/>
    </row>
    <row r="702" spans="1:15">
      <c r="A702" s="1"/>
      <c r="B702" s="1"/>
      <c r="C702" s="41"/>
      <c r="E702" s="42"/>
      <c r="F702" s="42"/>
      <c r="H702" s="20"/>
      <c r="I702" s="20"/>
      <c r="J702" s="20"/>
      <c r="O702" s="20"/>
    </row>
    <row r="703" spans="1:15">
      <c r="A703" s="1"/>
      <c r="B703" s="1"/>
      <c r="C703" s="41"/>
      <c r="E703" s="42"/>
      <c r="F703" s="42"/>
      <c r="H703" s="20"/>
      <c r="I703" s="20"/>
      <c r="J703" s="20"/>
      <c r="O703" s="20"/>
    </row>
    <row r="704" spans="1:15">
      <c r="A704" s="1"/>
      <c r="B704" s="1"/>
      <c r="C704" s="41"/>
      <c r="E704" s="42"/>
      <c r="F704" s="42"/>
      <c r="H704" s="20"/>
      <c r="I704" s="20"/>
      <c r="J704" s="20"/>
      <c r="O704" s="20"/>
    </row>
    <row r="705" spans="1:15">
      <c r="A705" s="1"/>
      <c r="B705" s="1"/>
      <c r="C705" s="41"/>
      <c r="E705" s="42"/>
      <c r="F705" s="42"/>
      <c r="H705" s="20"/>
      <c r="I705" s="20"/>
      <c r="J705" s="20"/>
      <c r="O705" s="20"/>
    </row>
    <row r="706" spans="1:15">
      <c r="A706" s="1"/>
      <c r="B706" s="1"/>
      <c r="C706" s="41"/>
      <c r="E706" s="42"/>
      <c r="F706" s="42"/>
      <c r="H706" s="20"/>
      <c r="I706" s="20"/>
      <c r="J706" s="20"/>
      <c r="O706" s="20"/>
    </row>
    <row r="707" spans="1:15">
      <c r="A707" s="1"/>
      <c r="B707" s="1"/>
      <c r="C707" s="41"/>
      <c r="E707" s="42"/>
      <c r="F707" s="42"/>
      <c r="H707" s="20"/>
      <c r="I707" s="20"/>
      <c r="J707" s="20"/>
      <c r="O707" s="20"/>
    </row>
    <row r="708" spans="1:15">
      <c r="A708" s="1"/>
      <c r="B708" s="1"/>
      <c r="C708" s="41"/>
      <c r="E708" s="42"/>
      <c r="F708" s="42"/>
      <c r="H708" s="20"/>
      <c r="I708" s="20"/>
      <c r="J708" s="20"/>
      <c r="O708" s="20"/>
    </row>
    <row r="709" spans="1:15">
      <c r="A709" s="1"/>
      <c r="B709" s="1"/>
      <c r="C709" s="41"/>
      <c r="E709" s="42"/>
      <c r="F709" s="42"/>
      <c r="H709" s="20"/>
      <c r="I709" s="20"/>
      <c r="J709" s="20"/>
      <c r="O709" s="20"/>
    </row>
    <row r="710" spans="1:15">
      <c r="A710" s="1"/>
      <c r="B710" s="1"/>
      <c r="C710" s="41"/>
      <c r="E710" s="42"/>
      <c r="F710" s="42"/>
      <c r="H710" s="20"/>
      <c r="I710" s="20"/>
      <c r="J710" s="20"/>
      <c r="O710" s="20"/>
    </row>
    <row r="711" spans="1:15">
      <c r="A711" s="1"/>
      <c r="B711" s="1"/>
      <c r="C711" s="41"/>
      <c r="E711" s="42"/>
      <c r="F711" s="42"/>
      <c r="H711" s="20"/>
      <c r="I711" s="20"/>
      <c r="J711" s="20"/>
      <c r="O711" s="20"/>
    </row>
    <row r="712" spans="1:15">
      <c r="A712" s="1"/>
      <c r="B712" s="1"/>
      <c r="C712" s="41"/>
      <c r="E712" s="42"/>
      <c r="F712" s="42"/>
      <c r="H712" s="20"/>
      <c r="I712" s="20"/>
      <c r="J712" s="20"/>
      <c r="O712" s="20"/>
    </row>
    <row r="713" spans="1:15">
      <c r="A713" s="1"/>
      <c r="B713" s="1"/>
      <c r="C713" s="41"/>
      <c r="E713" s="42"/>
      <c r="F713" s="42"/>
      <c r="H713" s="20"/>
      <c r="I713" s="20"/>
      <c r="J713" s="20"/>
      <c r="O713" s="20"/>
    </row>
    <row r="714" spans="1:15">
      <c r="A714" s="1"/>
      <c r="B714" s="1"/>
      <c r="C714" s="41"/>
      <c r="E714" s="42"/>
      <c r="F714" s="42"/>
      <c r="H714" s="20"/>
      <c r="I714" s="20"/>
      <c r="J714" s="20"/>
      <c r="O714" s="20"/>
    </row>
    <row r="715" spans="1:15">
      <c r="A715" s="1"/>
      <c r="B715" s="1"/>
      <c r="C715" s="41"/>
      <c r="E715" s="42"/>
      <c r="F715" s="42"/>
      <c r="H715" s="20"/>
      <c r="I715" s="20"/>
      <c r="J715" s="20"/>
      <c r="O715" s="20"/>
    </row>
    <row r="716" spans="1:15">
      <c r="A716" s="1"/>
      <c r="B716" s="1"/>
      <c r="C716" s="41"/>
      <c r="E716" s="42"/>
      <c r="F716" s="42"/>
      <c r="H716" s="20"/>
      <c r="I716" s="20"/>
      <c r="J716" s="20"/>
      <c r="O716" s="20"/>
    </row>
    <row r="717" spans="1:15">
      <c r="A717" s="1"/>
      <c r="B717" s="1"/>
      <c r="C717" s="41"/>
      <c r="E717" s="42"/>
      <c r="F717" s="42"/>
      <c r="H717" s="20"/>
      <c r="I717" s="20"/>
      <c r="J717" s="20"/>
      <c r="O717" s="20"/>
    </row>
    <row r="718" spans="1:15">
      <c r="A718" s="1"/>
      <c r="B718" s="1"/>
      <c r="C718" s="41"/>
      <c r="E718" s="42"/>
      <c r="F718" s="42"/>
      <c r="H718" s="20"/>
      <c r="I718" s="20"/>
      <c r="J718" s="20"/>
      <c r="O718" s="20"/>
    </row>
    <row r="719" spans="1:15">
      <c r="A719" s="1"/>
      <c r="B719" s="1"/>
      <c r="C719" s="41"/>
      <c r="E719" s="42"/>
      <c r="F719" s="42"/>
      <c r="H719" s="20"/>
      <c r="I719" s="20"/>
      <c r="J719" s="20"/>
      <c r="O719" s="20"/>
    </row>
    <row r="720" spans="1:15">
      <c r="A720" s="1"/>
      <c r="B720" s="1"/>
      <c r="C720" s="41"/>
      <c r="E720" s="42"/>
      <c r="F720" s="42"/>
      <c r="H720" s="20"/>
      <c r="I720" s="20"/>
      <c r="J720" s="20"/>
      <c r="O720" s="20"/>
    </row>
    <row r="721" spans="1:15">
      <c r="A721" s="1"/>
      <c r="B721" s="1"/>
      <c r="C721" s="41"/>
      <c r="E721" s="42"/>
      <c r="F721" s="42"/>
      <c r="H721" s="20"/>
      <c r="I721" s="20"/>
      <c r="J721" s="20"/>
      <c r="O721" s="20"/>
    </row>
    <row r="722" spans="1:15">
      <c r="A722" s="1"/>
      <c r="B722" s="1"/>
      <c r="C722" s="41"/>
      <c r="E722" s="42"/>
      <c r="F722" s="42"/>
      <c r="H722" s="20"/>
      <c r="I722" s="20"/>
      <c r="J722" s="20"/>
      <c r="O722" s="20"/>
    </row>
    <row r="723" spans="1:15">
      <c r="A723" s="1"/>
      <c r="B723" s="1"/>
      <c r="C723" s="41"/>
      <c r="E723" s="42"/>
      <c r="F723" s="42"/>
      <c r="H723" s="20"/>
      <c r="I723" s="20"/>
      <c r="J723" s="20"/>
      <c r="O723" s="20"/>
    </row>
    <row r="724" spans="1:15">
      <c r="A724" s="1"/>
      <c r="B724" s="1"/>
      <c r="C724" s="41"/>
      <c r="E724" s="42"/>
      <c r="F724" s="42"/>
      <c r="H724" s="20"/>
      <c r="I724" s="20"/>
      <c r="J724" s="20"/>
      <c r="O724" s="20"/>
    </row>
    <row r="725" spans="1:15">
      <c r="A725" s="1"/>
      <c r="B725" s="1"/>
      <c r="C725" s="41"/>
      <c r="E725" s="42"/>
      <c r="F725" s="42"/>
      <c r="H725" s="20"/>
      <c r="I725" s="20"/>
      <c r="J725" s="20"/>
      <c r="O725" s="20"/>
    </row>
    <row r="726" spans="1:15">
      <c r="A726" s="1"/>
      <c r="B726" s="1"/>
      <c r="C726" s="41"/>
      <c r="E726" s="42"/>
      <c r="F726" s="42"/>
      <c r="H726" s="20"/>
      <c r="I726" s="20"/>
      <c r="J726" s="20"/>
      <c r="O726" s="20"/>
    </row>
    <row r="727" spans="1:15">
      <c r="A727" s="1"/>
      <c r="B727" s="1"/>
      <c r="C727" s="41"/>
      <c r="E727" s="42"/>
      <c r="F727" s="42"/>
      <c r="H727" s="20"/>
      <c r="I727" s="20"/>
      <c r="J727" s="20"/>
      <c r="O727" s="20"/>
    </row>
    <row r="728" spans="1:15">
      <c r="A728" s="1"/>
      <c r="B728" s="1"/>
      <c r="C728" s="41"/>
      <c r="E728" s="42"/>
      <c r="F728" s="42"/>
      <c r="H728" s="20"/>
      <c r="I728" s="20"/>
      <c r="J728" s="20"/>
      <c r="O728" s="20"/>
    </row>
    <row r="729" spans="1:15">
      <c r="A729" s="1"/>
      <c r="B729" s="1"/>
      <c r="C729" s="41"/>
      <c r="E729" s="42"/>
      <c r="F729" s="42"/>
      <c r="H729" s="20"/>
      <c r="I729" s="20"/>
      <c r="J729" s="20"/>
      <c r="O729" s="20"/>
    </row>
    <row r="730" spans="1:15">
      <c r="A730" s="1"/>
      <c r="B730" s="1"/>
      <c r="C730" s="41"/>
      <c r="E730" s="42"/>
      <c r="F730" s="42"/>
      <c r="H730" s="20"/>
      <c r="I730" s="20"/>
      <c r="J730" s="20"/>
      <c r="O730" s="20"/>
    </row>
    <row r="731" spans="1:15">
      <c r="A731" s="1"/>
      <c r="B731" s="1"/>
      <c r="C731" s="41"/>
      <c r="E731" s="42"/>
      <c r="F731" s="42"/>
      <c r="H731" s="20"/>
      <c r="I731" s="20"/>
      <c r="J731" s="20"/>
      <c r="O731" s="20"/>
    </row>
    <row r="732" spans="1:15">
      <c r="A732" s="1"/>
      <c r="B732" s="1"/>
      <c r="C732" s="41"/>
      <c r="E732" s="42"/>
      <c r="F732" s="42"/>
      <c r="H732" s="20"/>
      <c r="I732" s="20"/>
      <c r="J732" s="20"/>
      <c r="O732" s="20"/>
    </row>
    <row r="733" spans="1:15">
      <c r="A733" s="1"/>
      <c r="B733" s="1"/>
      <c r="C733" s="41"/>
      <c r="E733" s="42"/>
      <c r="F733" s="42"/>
      <c r="H733" s="20"/>
      <c r="I733" s="20"/>
      <c r="J733" s="20"/>
      <c r="O733" s="20"/>
    </row>
    <row r="734" spans="1:15">
      <c r="A734" s="1"/>
      <c r="B734" s="1"/>
      <c r="C734" s="41"/>
      <c r="E734" s="42"/>
      <c r="F734" s="42"/>
      <c r="H734" s="20"/>
      <c r="I734" s="20"/>
      <c r="J734" s="20"/>
      <c r="O734" s="20"/>
    </row>
    <row r="735" spans="1:15">
      <c r="A735" s="1"/>
      <c r="B735" s="1"/>
      <c r="C735" s="41"/>
      <c r="E735" s="42"/>
      <c r="F735" s="42"/>
      <c r="H735" s="20"/>
      <c r="I735" s="20"/>
      <c r="J735" s="20"/>
      <c r="O735" s="20"/>
    </row>
    <row r="736" spans="1:15">
      <c r="A736" s="1"/>
      <c r="B736" s="1"/>
      <c r="C736" s="41"/>
      <c r="E736" s="42"/>
      <c r="F736" s="42"/>
      <c r="H736" s="20"/>
      <c r="I736" s="20"/>
      <c r="J736" s="20"/>
      <c r="O736" s="20"/>
    </row>
    <row r="737" spans="1:15">
      <c r="A737" s="1"/>
      <c r="B737" s="1"/>
      <c r="C737" s="41"/>
      <c r="E737" s="42"/>
      <c r="F737" s="42"/>
      <c r="H737" s="20"/>
      <c r="I737" s="20"/>
      <c r="J737" s="20"/>
      <c r="O737" s="20"/>
    </row>
    <row r="738" spans="1:15">
      <c r="A738" s="1"/>
      <c r="B738" s="1"/>
      <c r="C738" s="41"/>
      <c r="E738" s="42"/>
      <c r="F738" s="42"/>
      <c r="H738" s="20"/>
      <c r="I738" s="20"/>
      <c r="J738" s="20"/>
      <c r="O738" s="20"/>
    </row>
    <row r="739" spans="1:15">
      <c r="A739" s="1"/>
      <c r="B739" s="1"/>
      <c r="C739" s="41"/>
      <c r="E739" s="42"/>
      <c r="F739" s="42"/>
      <c r="H739" s="20"/>
      <c r="I739" s="20"/>
      <c r="J739" s="20"/>
      <c r="O739" s="20"/>
    </row>
    <row r="740" spans="1:15">
      <c r="A740" s="1"/>
      <c r="B740" s="1"/>
      <c r="C740" s="41"/>
      <c r="E740" s="42"/>
      <c r="F740" s="42"/>
      <c r="H740" s="20"/>
      <c r="I740" s="20"/>
      <c r="J740" s="20"/>
      <c r="O740" s="20"/>
    </row>
    <row r="741" spans="1:15">
      <c r="A741" s="1"/>
      <c r="B741" s="1"/>
      <c r="C741" s="41"/>
      <c r="E741" s="42"/>
      <c r="F741" s="42"/>
      <c r="H741" s="20"/>
      <c r="I741" s="20"/>
      <c r="J741" s="20"/>
      <c r="O741" s="20"/>
    </row>
    <row r="742" spans="1:15">
      <c r="A742" s="1"/>
      <c r="B742" s="1"/>
      <c r="C742" s="41"/>
      <c r="E742" s="42"/>
      <c r="F742" s="42"/>
      <c r="H742" s="20"/>
      <c r="I742" s="20"/>
      <c r="J742" s="20"/>
      <c r="O742" s="20"/>
    </row>
    <row r="743" spans="1:15">
      <c r="A743" s="1"/>
      <c r="B743" s="1"/>
      <c r="C743" s="41"/>
      <c r="E743" s="42"/>
      <c r="F743" s="42"/>
      <c r="H743" s="20"/>
      <c r="I743" s="20"/>
      <c r="J743" s="20"/>
      <c r="O743" s="20"/>
    </row>
    <row r="744" spans="1:15">
      <c r="A744" s="1"/>
      <c r="B744" s="1"/>
      <c r="C744" s="41"/>
      <c r="E744" s="42"/>
      <c r="F744" s="42"/>
      <c r="H744" s="20"/>
      <c r="I744" s="20"/>
      <c r="J744" s="20"/>
      <c r="O744" s="20"/>
    </row>
    <row r="745" spans="1:15">
      <c r="A745" s="1"/>
      <c r="B745" s="1"/>
      <c r="C745" s="41"/>
      <c r="E745" s="42"/>
      <c r="F745" s="42"/>
      <c r="H745" s="20"/>
      <c r="I745" s="20"/>
      <c r="J745" s="20"/>
      <c r="O745" s="20"/>
    </row>
    <row r="746" spans="1:15">
      <c r="A746" s="1"/>
      <c r="B746" s="1"/>
      <c r="C746" s="41"/>
      <c r="E746" s="42"/>
      <c r="F746" s="42"/>
      <c r="H746" s="20"/>
      <c r="I746" s="20"/>
      <c r="J746" s="20"/>
      <c r="O746" s="20"/>
    </row>
    <row r="747" spans="1:15">
      <c r="A747" s="1"/>
      <c r="B747" s="1"/>
      <c r="C747" s="41"/>
      <c r="E747" s="42"/>
      <c r="F747" s="42"/>
      <c r="H747" s="20"/>
      <c r="I747" s="20"/>
      <c r="J747" s="20"/>
      <c r="O747" s="20"/>
    </row>
    <row r="748" spans="1:15">
      <c r="A748" s="1"/>
      <c r="B748" s="1"/>
      <c r="C748" s="41"/>
      <c r="E748" s="42"/>
      <c r="F748" s="42"/>
      <c r="H748" s="20"/>
      <c r="I748" s="20"/>
      <c r="J748" s="20"/>
      <c r="O748" s="20"/>
    </row>
    <row r="749" spans="1:15">
      <c r="A749" s="1"/>
      <c r="B749" s="1"/>
      <c r="C749" s="41"/>
      <c r="E749" s="42"/>
      <c r="F749" s="42"/>
      <c r="H749" s="20"/>
      <c r="I749" s="20"/>
      <c r="J749" s="20"/>
      <c r="O749" s="20"/>
    </row>
    <row r="750" spans="1:15">
      <c r="A750" s="1"/>
      <c r="B750" s="1"/>
      <c r="C750" s="41"/>
      <c r="E750" s="42"/>
      <c r="F750" s="42"/>
      <c r="H750" s="20"/>
      <c r="I750" s="20"/>
      <c r="J750" s="20"/>
      <c r="O750" s="20"/>
    </row>
    <row r="751" spans="1:15">
      <c r="A751" s="1"/>
      <c r="B751" s="1"/>
      <c r="C751" s="41"/>
      <c r="E751" s="42"/>
      <c r="F751" s="42"/>
      <c r="H751" s="20"/>
      <c r="I751" s="20"/>
      <c r="J751" s="20"/>
      <c r="O751" s="20"/>
    </row>
    <row r="752" spans="1:15">
      <c r="A752" s="1"/>
      <c r="B752" s="1"/>
      <c r="C752" s="41"/>
      <c r="E752" s="42"/>
      <c r="F752" s="42"/>
      <c r="H752" s="20"/>
      <c r="I752" s="20"/>
      <c r="J752" s="20"/>
      <c r="O752" s="20"/>
    </row>
    <row r="753" spans="1:15">
      <c r="A753" s="1"/>
      <c r="B753" s="1"/>
      <c r="C753" s="41"/>
      <c r="E753" s="42"/>
      <c r="F753" s="42"/>
      <c r="H753" s="20"/>
      <c r="I753" s="20"/>
      <c r="J753" s="20"/>
      <c r="O753" s="20"/>
    </row>
    <row r="754" spans="1:15">
      <c r="A754" s="1"/>
      <c r="B754" s="1"/>
      <c r="C754" s="41"/>
      <c r="E754" s="42"/>
      <c r="F754" s="42"/>
      <c r="H754" s="20"/>
      <c r="I754" s="20"/>
      <c r="J754" s="20"/>
      <c r="O754" s="20"/>
    </row>
    <row r="755" spans="1:15">
      <c r="A755" s="1"/>
      <c r="B755" s="1"/>
      <c r="C755" s="41"/>
      <c r="E755" s="42"/>
      <c r="F755" s="42"/>
      <c r="H755" s="20"/>
      <c r="I755" s="20"/>
      <c r="J755" s="20"/>
      <c r="O755" s="20"/>
    </row>
    <row r="756" spans="1:15">
      <c r="A756" s="1"/>
      <c r="B756" s="1"/>
      <c r="C756" s="41"/>
      <c r="E756" s="42"/>
      <c r="F756" s="42"/>
      <c r="H756" s="20"/>
      <c r="I756" s="20"/>
      <c r="J756" s="20"/>
      <c r="O756" s="20"/>
    </row>
    <row r="757" spans="1:15">
      <c r="A757" s="1"/>
      <c r="B757" s="1"/>
      <c r="C757" s="41"/>
      <c r="E757" s="42"/>
      <c r="F757" s="42"/>
      <c r="H757" s="20"/>
      <c r="I757" s="20"/>
      <c r="J757" s="20"/>
      <c r="O757" s="20"/>
    </row>
    <row r="758" spans="1:15">
      <c r="A758" s="1"/>
      <c r="B758" s="1"/>
      <c r="C758" s="41"/>
      <c r="E758" s="42"/>
      <c r="F758" s="42"/>
      <c r="H758" s="20"/>
      <c r="I758" s="20"/>
      <c r="J758" s="20"/>
      <c r="O758" s="20"/>
    </row>
    <row r="759" spans="1:15">
      <c r="A759" s="1"/>
      <c r="B759" s="1"/>
      <c r="C759" s="41"/>
      <c r="E759" s="42"/>
      <c r="F759" s="42"/>
      <c r="H759" s="20"/>
      <c r="I759" s="20"/>
      <c r="J759" s="20"/>
      <c r="O759" s="20"/>
    </row>
    <row r="760" spans="1:15">
      <c r="A760" s="1"/>
      <c r="B760" s="1"/>
      <c r="C760" s="41"/>
      <c r="E760" s="42"/>
      <c r="F760" s="42"/>
      <c r="H760" s="20"/>
      <c r="I760" s="20"/>
      <c r="J760" s="20"/>
      <c r="O760" s="20"/>
    </row>
    <row r="761" spans="1:15">
      <c r="A761" s="1"/>
      <c r="B761" s="1"/>
      <c r="C761" s="41"/>
      <c r="E761" s="42"/>
      <c r="F761" s="42"/>
      <c r="H761" s="20"/>
      <c r="I761" s="20"/>
      <c r="J761" s="20"/>
      <c r="O761" s="20"/>
    </row>
    <row r="762" spans="1:15">
      <c r="A762" s="1"/>
      <c r="B762" s="1"/>
      <c r="C762" s="41"/>
      <c r="E762" s="42"/>
      <c r="F762" s="42"/>
      <c r="H762" s="20"/>
      <c r="I762" s="20"/>
      <c r="J762" s="20"/>
      <c r="O762" s="20"/>
    </row>
    <row r="763" spans="1:15">
      <c r="A763" s="1"/>
      <c r="B763" s="1"/>
      <c r="C763" s="41"/>
      <c r="E763" s="42"/>
      <c r="F763" s="42"/>
      <c r="H763" s="20"/>
      <c r="I763" s="20"/>
      <c r="J763" s="20"/>
      <c r="O763" s="20"/>
    </row>
    <row r="764" spans="1:15">
      <c r="A764" s="1"/>
      <c r="B764" s="1"/>
      <c r="C764" s="41"/>
      <c r="E764" s="42"/>
      <c r="F764" s="42"/>
      <c r="H764" s="20"/>
      <c r="I764" s="20"/>
      <c r="J764" s="20"/>
      <c r="O764" s="20"/>
    </row>
    <row r="765" spans="1:15">
      <c r="A765" s="1"/>
      <c r="B765" s="1"/>
      <c r="C765" s="41"/>
      <c r="E765" s="42"/>
      <c r="F765" s="42"/>
      <c r="H765" s="20"/>
      <c r="I765" s="20"/>
      <c r="J765" s="20"/>
      <c r="O765" s="20"/>
    </row>
    <row r="766" spans="1:15">
      <c r="A766" s="1"/>
      <c r="B766" s="1"/>
      <c r="C766" s="41"/>
      <c r="E766" s="42"/>
      <c r="F766" s="42"/>
      <c r="H766" s="20"/>
      <c r="I766" s="20"/>
      <c r="J766" s="20"/>
      <c r="O766" s="20"/>
    </row>
    <row r="767" spans="1:15">
      <c r="A767" s="1"/>
      <c r="B767" s="1"/>
      <c r="C767" s="41"/>
      <c r="E767" s="42"/>
      <c r="F767" s="42"/>
      <c r="H767" s="20"/>
      <c r="I767" s="20"/>
      <c r="J767" s="20"/>
      <c r="O767" s="20"/>
    </row>
    <row r="768" spans="1:15">
      <c r="A768" s="1"/>
      <c r="B768" s="1"/>
      <c r="C768" s="41"/>
      <c r="E768" s="42"/>
      <c r="F768" s="42"/>
      <c r="H768" s="20"/>
      <c r="I768" s="20"/>
      <c r="J768" s="20"/>
      <c r="O768" s="20"/>
    </row>
    <row r="769" spans="1:15">
      <c r="A769" s="1"/>
      <c r="B769" s="1"/>
      <c r="C769" s="41"/>
      <c r="E769" s="42"/>
      <c r="F769" s="42"/>
      <c r="H769" s="20"/>
      <c r="I769" s="20"/>
      <c r="J769" s="20"/>
      <c r="O769" s="20"/>
    </row>
    <row r="770" spans="1:15">
      <c r="A770" s="1"/>
      <c r="B770" s="1"/>
      <c r="C770" s="41"/>
      <c r="E770" s="42"/>
      <c r="F770" s="42"/>
      <c r="H770" s="20"/>
      <c r="I770" s="20"/>
      <c r="J770" s="20"/>
      <c r="O770" s="20"/>
    </row>
    <row r="771" spans="1:15">
      <c r="A771" s="1"/>
      <c r="B771" s="1"/>
      <c r="C771" s="41"/>
      <c r="E771" s="42"/>
      <c r="F771" s="42"/>
      <c r="H771" s="20"/>
      <c r="I771" s="20"/>
      <c r="J771" s="20"/>
      <c r="O771" s="20"/>
    </row>
    <row r="772" spans="1:15">
      <c r="A772" s="1"/>
      <c r="B772" s="1"/>
      <c r="C772" s="41"/>
      <c r="E772" s="42"/>
      <c r="F772" s="42"/>
      <c r="H772" s="20"/>
      <c r="I772" s="20"/>
      <c r="J772" s="20"/>
      <c r="O772" s="20"/>
    </row>
    <row r="773" spans="1:15">
      <c r="A773" s="1"/>
      <c r="B773" s="1"/>
      <c r="C773" s="41"/>
      <c r="E773" s="42"/>
      <c r="F773" s="42"/>
      <c r="H773" s="20"/>
      <c r="I773" s="20"/>
      <c r="J773" s="20"/>
      <c r="O773" s="20"/>
    </row>
    <row r="774" spans="1:15">
      <c r="A774" s="1"/>
      <c r="B774" s="1"/>
      <c r="C774" s="41"/>
      <c r="E774" s="42"/>
      <c r="F774" s="42"/>
      <c r="H774" s="20"/>
      <c r="I774" s="20"/>
      <c r="J774" s="20"/>
      <c r="O774" s="20"/>
    </row>
    <row r="775" spans="1:15">
      <c r="A775" s="1"/>
      <c r="B775" s="1"/>
      <c r="C775" s="41"/>
      <c r="E775" s="42"/>
      <c r="F775" s="42"/>
      <c r="H775" s="20"/>
      <c r="I775" s="20"/>
      <c r="J775" s="20"/>
      <c r="O775" s="20"/>
    </row>
    <row r="776" spans="1:15">
      <c r="A776" s="1"/>
      <c r="B776" s="1"/>
      <c r="C776" s="41"/>
      <c r="E776" s="42"/>
      <c r="F776" s="42"/>
      <c r="H776" s="20"/>
      <c r="I776" s="20"/>
      <c r="J776" s="20"/>
      <c r="O776" s="20"/>
    </row>
    <row r="777" spans="1:15">
      <c r="A777" s="1"/>
      <c r="B777" s="1"/>
      <c r="C777" s="41"/>
      <c r="E777" s="42"/>
      <c r="F777" s="42"/>
      <c r="H777" s="20"/>
      <c r="I777" s="20"/>
      <c r="J777" s="20"/>
      <c r="O777" s="20"/>
    </row>
    <row r="778" spans="1:15">
      <c r="A778" s="1"/>
      <c r="B778" s="1"/>
      <c r="C778" s="41"/>
      <c r="E778" s="42"/>
      <c r="F778" s="42"/>
      <c r="H778" s="20"/>
      <c r="I778" s="20"/>
      <c r="J778" s="20"/>
      <c r="O778" s="20"/>
    </row>
    <row r="779" spans="1:15">
      <c r="A779" s="1"/>
      <c r="B779" s="1"/>
      <c r="C779" s="41"/>
      <c r="E779" s="42"/>
      <c r="F779" s="42"/>
      <c r="H779" s="20"/>
      <c r="I779" s="20"/>
      <c r="J779" s="20"/>
      <c r="O779" s="20"/>
    </row>
    <row r="780" spans="1:15">
      <c r="A780" s="1"/>
      <c r="B780" s="1"/>
      <c r="C780" s="41"/>
      <c r="E780" s="42"/>
      <c r="F780" s="42"/>
      <c r="H780" s="20"/>
      <c r="I780" s="20"/>
      <c r="J780" s="20"/>
      <c r="O780" s="20"/>
    </row>
    <row r="781" spans="1:15">
      <c r="A781" s="1"/>
      <c r="B781" s="1"/>
      <c r="C781" s="41"/>
      <c r="E781" s="42"/>
      <c r="F781" s="42"/>
      <c r="H781" s="20"/>
      <c r="I781" s="20"/>
      <c r="J781" s="20"/>
      <c r="O781" s="20"/>
    </row>
    <row r="782" spans="1:15">
      <c r="A782" s="1"/>
      <c r="B782" s="1"/>
      <c r="C782" s="41"/>
      <c r="E782" s="42"/>
      <c r="F782" s="42"/>
      <c r="H782" s="20"/>
      <c r="I782" s="20"/>
      <c r="J782" s="20"/>
      <c r="O782" s="20"/>
    </row>
    <row r="783" spans="1:15">
      <c r="A783" s="1"/>
      <c r="B783" s="1"/>
      <c r="C783" s="41"/>
      <c r="E783" s="42"/>
      <c r="F783" s="42"/>
      <c r="H783" s="20"/>
      <c r="I783" s="20"/>
      <c r="J783" s="20"/>
      <c r="O783" s="20"/>
    </row>
    <row r="784" spans="1:15">
      <c r="A784" s="1"/>
      <c r="B784" s="1"/>
      <c r="C784" s="41"/>
      <c r="E784" s="42"/>
      <c r="F784" s="42"/>
      <c r="H784" s="20"/>
      <c r="I784" s="20"/>
      <c r="J784" s="20"/>
      <c r="O784" s="20"/>
    </row>
    <row r="785" spans="1:15">
      <c r="A785" s="1"/>
      <c r="B785" s="1"/>
      <c r="C785" s="41"/>
      <c r="E785" s="42"/>
      <c r="F785" s="42"/>
      <c r="H785" s="20"/>
      <c r="I785" s="20"/>
      <c r="J785" s="20"/>
      <c r="O785" s="20"/>
    </row>
    <row r="786" spans="1:15">
      <c r="A786" s="1"/>
      <c r="B786" s="1"/>
      <c r="C786" s="41"/>
      <c r="E786" s="42"/>
      <c r="F786" s="42"/>
      <c r="H786" s="20"/>
      <c r="I786" s="20"/>
      <c r="J786" s="20"/>
      <c r="O786" s="20"/>
    </row>
    <row r="787" spans="1:15">
      <c r="A787" s="1"/>
      <c r="B787" s="1"/>
      <c r="C787" s="41"/>
      <c r="E787" s="42"/>
      <c r="F787" s="42"/>
      <c r="H787" s="20"/>
      <c r="I787" s="20"/>
      <c r="J787" s="20"/>
      <c r="O787" s="20"/>
    </row>
    <row r="788" spans="1:15">
      <c r="A788" s="1"/>
      <c r="B788" s="1"/>
      <c r="C788" s="41"/>
      <c r="E788" s="42"/>
      <c r="F788" s="42"/>
      <c r="H788" s="20"/>
      <c r="I788" s="20"/>
      <c r="J788" s="20"/>
      <c r="O788" s="20"/>
    </row>
    <row r="789" spans="1:15">
      <c r="A789" s="1"/>
      <c r="B789" s="1"/>
      <c r="C789" s="41"/>
      <c r="E789" s="42"/>
      <c r="F789" s="42"/>
      <c r="H789" s="20"/>
      <c r="I789" s="20"/>
      <c r="J789" s="20"/>
      <c r="O789" s="20"/>
    </row>
    <row r="790" spans="1:15">
      <c r="A790" s="1"/>
      <c r="B790" s="1"/>
      <c r="C790" s="41"/>
      <c r="E790" s="42"/>
      <c r="F790" s="42"/>
      <c r="H790" s="20"/>
      <c r="I790" s="20"/>
      <c r="J790" s="20"/>
      <c r="O790" s="20"/>
    </row>
    <row r="791" spans="1:15">
      <c r="A791" s="1"/>
      <c r="B791" s="1"/>
      <c r="C791" s="41"/>
      <c r="E791" s="42"/>
      <c r="F791" s="42"/>
      <c r="H791" s="20"/>
      <c r="I791" s="20"/>
      <c r="J791" s="20"/>
      <c r="O791" s="20"/>
    </row>
    <row r="792" spans="1:15">
      <c r="A792" s="1"/>
      <c r="B792" s="1"/>
      <c r="C792" s="41"/>
      <c r="E792" s="42"/>
      <c r="F792" s="42"/>
      <c r="H792" s="20"/>
      <c r="I792" s="20"/>
      <c r="J792" s="20"/>
      <c r="O792" s="20"/>
    </row>
    <row r="793" spans="1:15">
      <c r="A793" s="1"/>
      <c r="B793" s="1"/>
      <c r="C793" s="41"/>
      <c r="E793" s="42"/>
      <c r="F793" s="42"/>
      <c r="H793" s="20"/>
      <c r="I793" s="20"/>
      <c r="J793" s="20"/>
      <c r="O793" s="20"/>
    </row>
    <row r="794" spans="1:15">
      <c r="A794" s="1"/>
      <c r="B794" s="1"/>
      <c r="C794" s="41"/>
      <c r="E794" s="42"/>
      <c r="F794" s="42"/>
      <c r="H794" s="20"/>
      <c r="I794" s="20"/>
      <c r="J794" s="20"/>
      <c r="O794" s="20"/>
    </row>
    <row r="795" spans="1:15">
      <c r="A795" s="1"/>
      <c r="B795" s="1"/>
      <c r="C795" s="41"/>
      <c r="E795" s="42"/>
      <c r="F795" s="42"/>
      <c r="H795" s="20"/>
      <c r="I795" s="20"/>
      <c r="J795" s="20"/>
      <c r="O795" s="20"/>
    </row>
    <row r="796" spans="1:15">
      <c r="A796" s="1"/>
      <c r="B796" s="1"/>
      <c r="C796" s="41"/>
      <c r="E796" s="42"/>
      <c r="F796" s="42"/>
      <c r="H796" s="20"/>
      <c r="I796" s="20"/>
      <c r="J796" s="20"/>
      <c r="O796" s="20"/>
    </row>
    <row r="797" spans="1:15">
      <c r="A797" s="1"/>
      <c r="B797" s="1"/>
      <c r="C797" s="41"/>
      <c r="E797" s="42"/>
      <c r="F797" s="42"/>
      <c r="H797" s="20"/>
      <c r="I797" s="20"/>
      <c r="J797" s="20"/>
      <c r="O797" s="20"/>
    </row>
    <row r="798" spans="1:15">
      <c r="A798" s="1"/>
      <c r="B798" s="1"/>
      <c r="C798" s="41"/>
      <c r="E798" s="42"/>
      <c r="F798" s="42"/>
      <c r="H798" s="20"/>
      <c r="I798" s="20"/>
      <c r="J798" s="20"/>
      <c r="O798" s="20"/>
    </row>
    <row r="799" spans="1:15">
      <c r="A799" s="1"/>
      <c r="B799" s="1"/>
      <c r="C799" s="41"/>
      <c r="E799" s="42"/>
      <c r="F799" s="42"/>
      <c r="H799" s="20"/>
      <c r="I799" s="20"/>
      <c r="J799" s="20"/>
      <c r="O799" s="20"/>
    </row>
    <row r="800" spans="1:15">
      <c r="A800" s="1"/>
      <c r="B800" s="1"/>
      <c r="C800" s="41"/>
      <c r="E800" s="42"/>
      <c r="F800" s="42"/>
      <c r="H800" s="20"/>
      <c r="I800" s="20"/>
      <c r="J800" s="20"/>
      <c r="O800" s="20"/>
    </row>
    <row r="801" spans="1:15">
      <c r="A801" s="1"/>
      <c r="B801" s="1"/>
      <c r="C801" s="41"/>
      <c r="E801" s="42"/>
      <c r="F801" s="42"/>
      <c r="H801" s="20"/>
      <c r="I801" s="20"/>
      <c r="J801" s="20"/>
      <c r="O801" s="20"/>
    </row>
    <row r="802" spans="1:15">
      <c r="A802" s="1"/>
      <c r="B802" s="1"/>
      <c r="C802" s="41"/>
      <c r="E802" s="42"/>
      <c r="F802" s="42"/>
      <c r="H802" s="20"/>
      <c r="I802" s="20"/>
      <c r="J802" s="20"/>
      <c r="O802" s="20"/>
    </row>
    <row r="803" spans="1:15">
      <c r="A803" s="1"/>
      <c r="B803" s="1"/>
      <c r="C803" s="41"/>
      <c r="E803" s="42"/>
      <c r="F803" s="42"/>
      <c r="H803" s="20"/>
      <c r="I803" s="20"/>
      <c r="J803" s="20"/>
      <c r="O803" s="20"/>
    </row>
    <row r="804" spans="1:15">
      <c r="A804" s="1"/>
      <c r="B804" s="1"/>
      <c r="C804" s="41"/>
      <c r="E804" s="42"/>
      <c r="F804" s="42"/>
      <c r="H804" s="20"/>
      <c r="I804" s="20"/>
      <c r="J804" s="20"/>
      <c r="O804" s="20"/>
    </row>
    <row r="805" spans="1:15">
      <c r="A805" s="1"/>
      <c r="B805" s="1"/>
      <c r="C805" s="41"/>
      <c r="E805" s="42"/>
      <c r="F805" s="42"/>
      <c r="H805" s="20"/>
      <c r="I805" s="20"/>
      <c r="J805" s="20"/>
      <c r="O805" s="20"/>
    </row>
    <row r="806" spans="1:15">
      <c r="A806" s="1"/>
      <c r="B806" s="1"/>
      <c r="C806" s="41"/>
      <c r="E806" s="42"/>
      <c r="F806" s="42"/>
      <c r="H806" s="20"/>
      <c r="I806" s="20"/>
      <c r="J806" s="20"/>
      <c r="O806" s="20"/>
    </row>
    <row r="807" spans="1:15">
      <c r="A807" s="1"/>
      <c r="B807" s="1"/>
      <c r="C807" s="41"/>
      <c r="E807" s="42"/>
      <c r="F807" s="42"/>
      <c r="H807" s="20"/>
      <c r="I807" s="20"/>
      <c r="J807" s="20"/>
      <c r="O807" s="20"/>
    </row>
    <row r="808" spans="1:15">
      <c r="A808" s="1"/>
      <c r="B808" s="1"/>
      <c r="C808" s="41"/>
      <c r="E808" s="42"/>
      <c r="F808" s="42"/>
      <c r="H808" s="20"/>
      <c r="I808" s="20"/>
      <c r="J808" s="20"/>
      <c r="O808" s="20"/>
    </row>
    <row r="809" spans="1:15">
      <c r="A809" s="1"/>
      <c r="B809" s="1"/>
      <c r="C809" s="41"/>
      <c r="E809" s="42"/>
      <c r="F809" s="42"/>
      <c r="H809" s="20"/>
      <c r="I809" s="20"/>
      <c r="J809" s="20"/>
      <c r="O809" s="20"/>
    </row>
    <row r="810" spans="1:15">
      <c r="A810" s="1"/>
      <c r="B810" s="1"/>
      <c r="C810" s="41"/>
      <c r="E810" s="42"/>
      <c r="F810" s="42"/>
      <c r="H810" s="20"/>
      <c r="I810" s="20"/>
      <c r="J810" s="20"/>
      <c r="O810" s="20"/>
    </row>
    <row r="811" spans="1:15">
      <c r="A811" s="1"/>
      <c r="B811" s="1"/>
      <c r="C811" s="41"/>
      <c r="E811" s="42"/>
      <c r="F811" s="42"/>
      <c r="H811" s="20"/>
      <c r="I811" s="20"/>
      <c r="J811" s="20"/>
      <c r="O811" s="20"/>
    </row>
    <row r="812" spans="1:15">
      <c r="A812" s="1"/>
      <c r="B812" s="1"/>
      <c r="C812" s="41"/>
      <c r="E812" s="42"/>
      <c r="F812" s="42"/>
      <c r="H812" s="20"/>
      <c r="I812" s="20"/>
      <c r="J812" s="20"/>
      <c r="O812" s="20"/>
    </row>
    <row r="813" spans="1:15">
      <c r="A813" s="1"/>
      <c r="B813" s="1"/>
      <c r="C813" s="41"/>
      <c r="E813" s="42"/>
      <c r="F813" s="42"/>
      <c r="H813" s="20"/>
      <c r="I813" s="20"/>
      <c r="J813" s="20"/>
      <c r="O813" s="20"/>
    </row>
    <row r="814" spans="1:15">
      <c r="A814" s="1"/>
      <c r="B814" s="1"/>
      <c r="C814" s="41"/>
      <c r="E814" s="42"/>
      <c r="F814" s="42"/>
      <c r="H814" s="20"/>
      <c r="I814" s="20"/>
      <c r="J814" s="20"/>
      <c r="O814" s="20"/>
    </row>
    <row r="815" spans="1:15">
      <c r="A815" s="1"/>
      <c r="B815" s="1"/>
      <c r="C815" s="41"/>
      <c r="E815" s="42"/>
      <c r="F815" s="42"/>
      <c r="H815" s="20"/>
      <c r="I815" s="20"/>
      <c r="J815" s="20"/>
      <c r="O815" s="20"/>
    </row>
    <row r="816" spans="1:15">
      <c r="A816" s="1"/>
      <c r="B816" s="1"/>
      <c r="C816" s="41"/>
      <c r="E816" s="42"/>
      <c r="F816" s="42"/>
      <c r="H816" s="20"/>
      <c r="I816" s="20"/>
      <c r="J816" s="20"/>
      <c r="O816" s="20"/>
    </row>
    <row r="817" spans="1:15">
      <c r="A817" s="1"/>
      <c r="B817" s="1"/>
      <c r="C817" s="41"/>
      <c r="E817" s="42"/>
      <c r="F817" s="42"/>
      <c r="H817" s="20"/>
      <c r="I817" s="20"/>
      <c r="J817" s="20"/>
      <c r="O817" s="20"/>
    </row>
    <row r="818" spans="1:15">
      <c r="A818" s="1"/>
      <c r="B818" s="1"/>
      <c r="C818" s="41"/>
      <c r="E818" s="42"/>
      <c r="F818" s="42"/>
      <c r="H818" s="20"/>
      <c r="I818" s="20"/>
      <c r="J818" s="20"/>
      <c r="O818" s="20"/>
    </row>
    <row r="819" spans="1:15">
      <c r="A819" s="1"/>
      <c r="B819" s="1"/>
      <c r="C819" s="41"/>
      <c r="E819" s="42"/>
      <c r="F819" s="42"/>
      <c r="H819" s="20"/>
      <c r="I819" s="20"/>
      <c r="J819" s="20"/>
      <c r="O819" s="20"/>
    </row>
    <row r="820" spans="1:15">
      <c r="A820" s="1"/>
      <c r="B820" s="1"/>
      <c r="C820" s="41"/>
      <c r="E820" s="42"/>
      <c r="F820" s="42"/>
      <c r="H820" s="20"/>
      <c r="I820" s="20"/>
      <c r="J820" s="20"/>
      <c r="O820" s="20"/>
    </row>
    <row r="821" spans="1:15">
      <c r="A821" s="1"/>
      <c r="B821" s="1"/>
      <c r="C821" s="41"/>
      <c r="E821" s="42"/>
      <c r="F821" s="42"/>
      <c r="H821" s="20"/>
      <c r="I821" s="20"/>
      <c r="J821" s="20"/>
      <c r="O821" s="20"/>
    </row>
    <row r="822" spans="1:15">
      <c r="A822" s="1"/>
      <c r="B822" s="1"/>
      <c r="C822" s="41"/>
      <c r="E822" s="42"/>
      <c r="F822" s="42"/>
      <c r="H822" s="20"/>
      <c r="I822" s="20"/>
      <c r="J822" s="20"/>
      <c r="O822" s="20"/>
    </row>
    <row r="823" spans="1:15">
      <c r="A823" s="1"/>
      <c r="B823" s="1"/>
      <c r="C823" s="41"/>
      <c r="E823" s="42"/>
      <c r="F823" s="42"/>
      <c r="H823" s="20"/>
      <c r="I823" s="20"/>
      <c r="J823" s="20"/>
      <c r="O823" s="20"/>
    </row>
    <row r="824" spans="1:15">
      <c r="A824" s="1"/>
      <c r="B824" s="1"/>
      <c r="C824" s="41"/>
      <c r="E824" s="42"/>
      <c r="F824" s="42"/>
      <c r="H824" s="20"/>
      <c r="I824" s="20"/>
      <c r="J824" s="20"/>
      <c r="O824" s="20"/>
    </row>
    <row r="825" spans="1:15">
      <c r="A825" s="1"/>
      <c r="B825" s="1"/>
      <c r="C825" s="41"/>
      <c r="E825" s="42"/>
      <c r="F825" s="42"/>
      <c r="H825" s="20"/>
      <c r="I825" s="20"/>
      <c r="J825" s="20"/>
      <c r="O825" s="20"/>
    </row>
    <row r="826" spans="1:15">
      <c r="A826" s="1"/>
      <c r="B826" s="1"/>
      <c r="C826" s="41"/>
      <c r="E826" s="42"/>
      <c r="F826" s="42"/>
      <c r="H826" s="20"/>
      <c r="I826" s="20"/>
      <c r="J826" s="20"/>
      <c r="O826" s="20"/>
    </row>
    <row r="827" spans="1:15">
      <c r="A827" s="1"/>
      <c r="B827" s="1"/>
      <c r="C827" s="41"/>
      <c r="E827" s="42"/>
      <c r="F827" s="42"/>
      <c r="H827" s="20"/>
      <c r="I827" s="20"/>
      <c r="J827" s="20"/>
      <c r="O827" s="20"/>
    </row>
    <row r="828" spans="1:15">
      <c r="A828" s="1"/>
      <c r="B828" s="1"/>
      <c r="C828" s="41"/>
      <c r="E828" s="42"/>
      <c r="F828" s="42"/>
      <c r="H828" s="20"/>
      <c r="I828" s="20"/>
      <c r="J828" s="20"/>
      <c r="O828" s="20"/>
    </row>
    <row r="829" spans="1:15">
      <c r="A829" s="1"/>
      <c r="B829" s="1"/>
      <c r="C829" s="41"/>
      <c r="E829" s="42"/>
      <c r="F829" s="42"/>
      <c r="H829" s="20"/>
      <c r="I829" s="20"/>
      <c r="J829" s="20"/>
      <c r="O829" s="20"/>
    </row>
    <row r="830" spans="1:15">
      <c r="A830" s="1"/>
      <c r="B830" s="1"/>
      <c r="C830" s="41"/>
      <c r="E830" s="42"/>
      <c r="F830" s="42"/>
      <c r="H830" s="20"/>
      <c r="I830" s="20"/>
      <c r="J830" s="20"/>
      <c r="O830" s="20"/>
    </row>
    <row r="831" spans="1:15">
      <c r="A831" s="1"/>
      <c r="B831" s="1"/>
      <c r="C831" s="41"/>
      <c r="E831" s="42"/>
      <c r="F831" s="42"/>
      <c r="H831" s="20"/>
      <c r="I831" s="20"/>
      <c r="J831" s="20"/>
      <c r="O831" s="20"/>
    </row>
    <row r="832" spans="1:15">
      <c r="A832" s="1"/>
      <c r="B832" s="1"/>
      <c r="C832" s="41"/>
      <c r="E832" s="42"/>
      <c r="F832" s="42"/>
      <c r="H832" s="20"/>
      <c r="I832" s="20"/>
      <c r="J832" s="20"/>
      <c r="O832" s="20"/>
    </row>
    <row r="833" spans="1:15">
      <c r="A833" s="1"/>
      <c r="B833" s="1"/>
      <c r="C833" s="41"/>
      <c r="E833" s="42"/>
      <c r="F833" s="42"/>
      <c r="H833" s="20"/>
      <c r="I833" s="20"/>
      <c r="J833" s="20"/>
      <c r="O833" s="20"/>
    </row>
    <row r="834" spans="1:15">
      <c r="A834" s="1"/>
      <c r="B834" s="1"/>
      <c r="C834" s="41"/>
      <c r="E834" s="42"/>
      <c r="F834" s="42"/>
      <c r="H834" s="20"/>
      <c r="I834" s="20"/>
      <c r="J834" s="20"/>
      <c r="O834" s="20"/>
    </row>
    <row r="835" spans="1:15">
      <c r="A835" s="1"/>
      <c r="B835" s="1"/>
      <c r="C835" s="41"/>
      <c r="E835" s="42"/>
      <c r="F835" s="42"/>
      <c r="H835" s="20"/>
      <c r="I835" s="20"/>
      <c r="J835" s="20"/>
      <c r="O835" s="20"/>
    </row>
    <row r="836" spans="1:15">
      <c r="A836" s="1"/>
      <c r="B836" s="1"/>
      <c r="C836" s="41"/>
      <c r="E836" s="42"/>
      <c r="F836" s="42"/>
      <c r="H836" s="20"/>
      <c r="I836" s="20"/>
      <c r="J836" s="20"/>
      <c r="O836" s="20"/>
    </row>
    <row r="837" spans="1:15">
      <c r="A837" s="1"/>
      <c r="B837" s="1"/>
      <c r="C837" s="41"/>
      <c r="E837" s="42"/>
      <c r="F837" s="42"/>
      <c r="H837" s="20"/>
      <c r="I837" s="20"/>
      <c r="J837" s="20"/>
      <c r="O837" s="20"/>
    </row>
    <row r="838" spans="1:15">
      <c r="A838" s="1"/>
      <c r="B838" s="1"/>
      <c r="C838" s="41"/>
      <c r="E838" s="42"/>
      <c r="F838" s="42"/>
      <c r="H838" s="20"/>
      <c r="I838" s="20"/>
      <c r="J838" s="20"/>
      <c r="O838" s="20"/>
    </row>
    <row r="839" spans="1:15">
      <c r="A839" s="1"/>
      <c r="B839" s="1"/>
      <c r="C839" s="41"/>
      <c r="E839" s="42"/>
      <c r="F839" s="42"/>
      <c r="H839" s="20"/>
      <c r="I839" s="20"/>
      <c r="J839" s="20"/>
      <c r="O839" s="20"/>
    </row>
    <row r="840" spans="1:15">
      <c r="A840" s="1"/>
      <c r="B840" s="1"/>
      <c r="C840" s="41"/>
      <c r="E840" s="42"/>
      <c r="F840" s="42"/>
      <c r="H840" s="20"/>
      <c r="I840" s="20"/>
      <c r="J840" s="20"/>
      <c r="O840" s="20"/>
    </row>
    <row r="841" spans="1:15">
      <c r="A841" s="1"/>
      <c r="B841" s="1"/>
      <c r="C841" s="41"/>
      <c r="E841" s="42"/>
      <c r="F841" s="42"/>
      <c r="H841" s="20"/>
      <c r="I841" s="20"/>
      <c r="J841" s="20"/>
      <c r="O841" s="20"/>
    </row>
    <row r="842" spans="1:15">
      <c r="A842" s="1"/>
      <c r="B842" s="1"/>
      <c r="C842" s="41"/>
      <c r="E842" s="42"/>
      <c r="F842" s="42"/>
      <c r="H842" s="20"/>
      <c r="I842" s="20"/>
      <c r="J842" s="20"/>
      <c r="O842" s="20"/>
    </row>
    <row r="843" spans="1:15">
      <c r="A843" s="1"/>
      <c r="B843" s="1"/>
      <c r="C843" s="41"/>
      <c r="E843" s="42"/>
      <c r="F843" s="42"/>
      <c r="H843" s="20"/>
      <c r="I843" s="20"/>
      <c r="J843" s="20"/>
      <c r="O843" s="20"/>
    </row>
    <row r="844" spans="1:15">
      <c r="A844" s="1"/>
      <c r="B844" s="1"/>
      <c r="C844" s="41"/>
      <c r="E844" s="42"/>
      <c r="F844" s="42"/>
      <c r="H844" s="20"/>
      <c r="I844" s="20"/>
      <c r="J844" s="20"/>
      <c r="O844" s="20"/>
    </row>
    <row r="845" spans="1:15">
      <c r="A845" s="1"/>
      <c r="B845" s="1"/>
      <c r="C845" s="41"/>
      <c r="E845" s="42"/>
      <c r="F845" s="42"/>
      <c r="H845" s="20"/>
      <c r="I845" s="20"/>
      <c r="J845" s="20"/>
      <c r="O845" s="20"/>
    </row>
    <row r="846" spans="1:15">
      <c r="A846" s="1"/>
      <c r="B846" s="1"/>
      <c r="C846" s="41"/>
      <c r="E846" s="42"/>
      <c r="F846" s="42"/>
      <c r="H846" s="20"/>
      <c r="I846" s="20"/>
      <c r="J846" s="20"/>
      <c r="O846" s="20"/>
    </row>
    <row r="847" spans="1:15">
      <c r="A847" s="1"/>
      <c r="B847" s="1"/>
      <c r="C847" s="41"/>
      <c r="E847" s="42"/>
      <c r="F847" s="42"/>
      <c r="H847" s="20"/>
      <c r="I847" s="20"/>
      <c r="J847" s="20"/>
      <c r="O847" s="20"/>
    </row>
    <row r="848" spans="1:15">
      <c r="A848" s="1"/>
      <c r="B848" s="1"/>
      <c r="C848" s="41"/>
      <c r="E848" s="42"/>
      <c r="F848" s="42"/>
      <c r="H848" s="20"/>
      <c r="I848" s="20"/>
      <c r="J848" s="20"/>
      <c r="O848" s="20"/>
    </row>
    <row r="849" spans="1:15">
      <c r="A849" s="1"/>
      <c r="B849" s="1"/>
      <c r="C849" s="41"/>
      <c r="E849" s="42"/>
      <c r="F849" s="42"/>
      <c r="H849" s="20"/>
      <c r="I849" s="20"/>
      <c r="J849" s="20"/>
      <c r="O849" s="20"/>
    </row>
    <row r="850" spans="1:15">
      <c r="A850" s="1"/>
      <c r="B850" s="1"/>
      <c r="C850" s="41"/>
      <c r="E850" s="42"/>
      <c r="F850" s="42"/>
      <c r="H850" s="20"/>
      <c r="I850" s="20"/>
      <c r="J850" s="20"/>
      <c r="O850" s="20"/>
    </row>
    <row r="851" spans="1:15">
      <c r="A851" s="1"/>
      <c r="B851" s="1"/>
      <c r="C851" s="41"/>
      <c r="E851" s="42"/>
      <c r="F851" s="42"/>
      <c r="H851" s="20"/>
      <c r="I851" s="20"/>
      <c r="J851" s="20"/>
      <c r="O851" s="20"/>
    </row>
    <row r="852" spans="1:15">
      <c r="A852" s="1"/>
      <c r="B852" s="1"/>
      <c r="C852" s="41"/>
      <c r="E852" s="42"/>
      <c r="F852" s="42"/>
      <c r="H852" s="20"/>
      <c r="I852" s="20"/>
      <c r="J852" s="20"/>
      <c r="O852" s="20"/>
    </row>
    <row r="853" spans="1:15">
      <c r="A853" s="1"/>
      <c r="B853" s="1"/>
      <c r="C853" s="41"/>
      <c r="E853" s="42"/>
      <c r="F853" s="42"/>
      <c r="H853" s="20"/>
      <c r="I853" s="20"/>
      <c r="J853" s="20"/>
      <c r="O853" s="20"/>
    </row>
    <row r="854" spans="1:15">
      <c r="A854" s="1"/>
      <c r="B854" s="1"/>
      <c r="C854" s="41"/>
      <c r="E854" s="42"/>
      <c r="F854" s="42"/>
      <c r="H854" s="20"/>
      <c r="I854" s="20"/>
      <c r="J854" s="20"/>
      <c r="O854" s="20"/>
    </row>
    <row r="855" spans="1:15">
      <c r="A855" s="1"/>
      <c r="B855" s="1"/>
      <c r="C855" s="41"/>
      <c r="E855" s="42"/>
      <c r="F855" s="42"/>
      <c r="H855" s="20"/>
      <c r="I855" s="20"/>
      <c r="J855" s="20"/>
      <c r="O855" s="20"/>
    </row>
    <row r="856" spans="1:15">
      <c r="A856" s="1"/>
      <c r="B856" s="1"/>
      <c r="C856" s="41"/>
      <c r="E856" s="42"/>
      <c r="F856" s="42"/>
      <c r="H856" s="20"/>
      <c r="I856" s="20"/>
      <c r="J856" s="20"/>
      <c r="O856" s="20"/>
    </row>
    <row r="857" spans="1:15">
      <c r="A857" s="1"/>
      <c r="B857" s="1"/>
      <c r="C857" s="41"/>
      <c r="E857" s="42"/>
      <c r="F857" s="42"/>
      <c r="H857" s="20"/>
      <c r="I857" s="20"/>
      <c r="J857" s="20"/>
      <c r="O857" s="20"/>
    </row>
    <row r="858" spans="1:15">
      <c r="A858" s="1"/>
      <c r="B858" s="1"/>
      <c r="C858" s="41"/>
      <c r="E858" s="42"/>
      <c r="F858" s="42"/>
      <c r="H858" s="20"/>
      <c r="I858" s="20"/>
      <c r="J858" s="20"/>
      <c r="O858" s="20"/>
    </row>
    <row r="859" spans="1:15">
      <c r="A859" s="1"/>
      <c r="B859" s="1"/>
      <c r="C859" s="41"/>
      <c r="E859" s="42"/>
      <c r="F859" s="42"/>
      <c r="H859" s="20"/>
      <c r="I859" s="20"/>
      <c r="J859" s="20"/>
      <c r="O859" s="20"/>
    </row>
    <row r="860" spans="1:15">
      <c r="A860" s="1"/>
      <c r="B860" s="1"/>
      <c r="C860" s="41"/>
      <c r="E860" s="42"/>
      <c r="F860" s="42"/>
      <c r="H860" s="20"/>
      <c r="I860" s="20"/>
      <c r="J860" s="20"/>
      <c r="O860" s="20"/>
    </row>
    <row r="861" spans="1:15">
      <c r="A861" s="1"/>
      <c r="B861" s="1"/>
      <c r="C861" s="41"/>
      <c r="E861" s="42"/>
      <c r="F861" s="42"/>
      <c r="H861" s="20"/>
      <c r="I861" s="20"/>
      <c r="J861" s="20"/>
      <c r="O861" s="20"/>
    </row>
    <row r="862" spans="1:15">
      <c r="A862" s="1"/>
      <c r="B862" s="1"/>
      <c r="C862" s="41"/>
      <c r="E862" s="42"/>
      <c r="F862" s="42"/>
      <c r="H862" s="20"/>
      <c r="I862" s="20"/>
      <c r="J862" s="20"/>
      <c r="O862" s="20"/>
    </row>
    <row r="863" spans="1:15">
      <c r="A863" s="1"/>
      <c r="B863" s="1"/>
      <c r="C863" s="41"/>
      <c r="E863" s="42"/>
      <c r="F863" s="42"/>
      <c r="H863" s="20"/>
      <c r="I863" s="20"/>
      <c r="J863" s="20"/>
      <c r="O863" s="20"/>
    </row>
    <row r="864" spans="1:15">
      <c r="A864" s="1"/>
      <c r="B864" s="1"/>
      <c r="C864" s="41"/>
      <c r="E864" s="42"/>
      <c r="F864" s="42"/>
      <c r="H864" s="20"/>
      <c r="I864" s="20"/>
      <c r="J864" s="20"/>
      <c r="O864" s="20"/>
    </row>
    <row r="865" spans="1:15">
      <c r="A865" s="1"/>
      <c r="B865" s="1"/>
      <c r="C865" s="41"/>
      <c r="E865" s="42"/>
      <c r="F865" s="42"/>
      <c r="H865" s="20"/>
      <c r="I865" s="20"/>
      <c r="J865" s="20"/>
      <c r="O865" s="20"/>
    </row>
    <row r="866" spans="1:15">
      <c r="A866" s="1"/>
      <c r="B866" s="1"/>
      <c r="C866" s="41"/>
      <c r="E866" s="42"/>
      <c r="F866" s="42"/>
      <c r="H866" s="20"/>
      <c r="I866" s="20"/>
      <c r="J866" s="20"/>
      <c r="O866" s="20"/>
    </row>
    <row r="867" spans="1:15">
      <c r="A867" s="1"/>
      <c r="B867" s="1"/>
      <c r="C867" s="41"/>
      <c r="E867" s="42"/>
      <c r="F867" s="42"/>
      <c r="H867" s="20"/>
      <c r="I867" s="20"/>
      <c r="J867" s="20"/>
      <c r="O867" s="20"/>
    </row>
    <row r="868" spans="1:15">
      <c r="A868" s="1"/>
      <c r="B868" s="1"/>
      <c r="C868" s="41"/>
      <c r="E868" s="42"/>
      <c r="F868" s="42"/>
      <c r="H868" s="20"/>
      <c r="I868" s="20"/>
      <c r="J868" s="20"/>
      <c r="O868" s="20"/>
    </row>
    <row r="869" spans="1:15">
      <c r="A869" s="1"/>
      <c r="B869" s="1"/>
      <c r="C869" s="41"/>
      <c r="E869" s="42"/>
      <c r="F869" s="42"/>
      <c r="H869" s="20"/>
      <c r="I869" s="20"/>
      <c r="J869" s="20"/>
      <c r="O869" s="20"/>
    </row>
    <row r="870" spans="1:15">
      <c r="A870" s="1"/>
      <c r="B870" s="1"/>
      <c r="C870" s="41"/>
      <c r="E870" s="42"/>
      <c r="F870" s="42"/>
      <c r="H870" s="20"/>
      <c r="I870" s="20"/>
      <c r="J870" s="20"/>
      <c r="O870" s="20"/>
    </row>
    <row r="871" spans="1:15">
      <c r="A871" s="1"/>
      <c r="B871" s="1"/>
      <c r="C871" s="41"/>
      <c r="E871" s="42"/>
      <c r="F871" s="42"/>
      <c r="H871" s="20"/>
      <c r="I871" s="20"/>
      <c r="J871" s="20"/>
      <c r="O871" s="20"/>
    </row>
    <row r="872" spans="1:15">
      <c r="A872" s="1"/>
      <c r="B872" s="1"/>
      <c r="C872" s="41"/>
      <c r="E872" s="42"/>
      <c r="F872" s="42"/>
      <c r="H872" s="20"/>
      <c r="I872" s="20"/>
      <c r="J872" s="20"/>
      <c r="O872" s="20"/>
    </row>
    <row r="873" spans="1:15">
      <c r="A873" s="1"/>
      <c r="B873" s="1"/>
      <c r="C873" s="41"/>
      <c r="E873" s="42"/>
      <c r="F873" s="42"/>
      <c r="H873" s="20"/>
      <c r="I873" s="20"/>
      <c r="J873" s="20"/>
      <c r="O873" s="20"/>
    </row>
    <row r="874" spans="1:15">
      <c r="A874" s="1"/>
      <c r="B874" s="1"/>
      <c r="C874" s="41"/>
      <c r="E874" s="42"/>
      <c r="F874" s="42"/>
      <c r="H874" s="20"/>
      <c r="I874" s="20"/>
      <c r="J874" s="20"/>
      <c r="O874" s="20"/>
    </row>
    <row r="875" spans="1:15">
      <c r="A875" s="1"/>
      <c r="B875" s="1"/>
      <c r="C875" s="41"/>
      <c r="E875" s="42"/>
      <c r="F875" s="42"/>
      <c r="H875" s="20"/>
      <c r="I875" s="20"/>
      <c r="J875" s="20"/>
      <c r="O875" s="20"/>
    </row>
    <row r="876" spans="1:15">
      <c r="A876" s="1"/>
      <c r="B876" s="1"/>
      <c r="C876" s="41"/>
      <c r="E876" s="42"/>
      <c r="F876" s="42"/>
      <c r="H876" s="20"/>
      <c r="I876" s="20"/>
      <c r="J876" s="20"/>
      <c r="O876" s="20"/>
    </row>
    <row r="877" spans="1:15">
      <c r="A877" s="1"/>
      <c r="B877" s="1"/>
      <c r="C877" s="41"/>
      <c r="E877" s="42"/>
      <c r="F877" s="42"/>
      <c r="H877" s="20"/>
      <c r="I877" s="20"/>
      <c r="J877" s="20"/>
      <c r="O877" s="20"/>
    </row>
    <row r="878" spans="1:15">
      <c r="A878" s="1"/>
      <c r="B878" s="1"/>
      <c r="C878" s="41"/>
      <c r="E878" s="42"/>
      <c r="F878" s="42"/>
      <c r="H878" s="20"/>
      <c r="I878" s="20"/>
      <c r="J878" s="20"/>
      <c r="O878" s="20"/>
    </row>
    <row r="879" spans="1:15">
      <c r="A879" s="1"/>
      <c r="B879" s="1"/>
      <c r="C879" s="41"/>
      <c r="E879" s="42"/>
      <c r="F879" s="42"/>
      <c r="H879" s="20"/>
      <c r="I879" s="20"/>
      <c r="J879" s="20"/>
      <c r="O879" s="20"/>
    </row>
    <row r="880" spans="1:15">
      <c r="A880" s="1"/>
      <c r="B880" s="1"/>
      <c r="C880" s="41"/>
      <c r="E880" s="42"/>
      <c r="F880" s="42"/>
      <c r="H880" s="20"/>
      <c r="I880" s="20"/>
      <c r="J880" s="20"/>
      <c r="O880" s="20"/>
    </row>
    <row r="881" spans="1:15">
      <c r="A881" s="1"/>
      <c r="B881" s="1"/>
      <c r="C881" s="41"/>
      <c r="E881" s="42"/>
      <c r="F881" s="42"/>
      <c r="H881" s="20"/>
      <c r="I881" s="20"/>
      <c r="J881" s="20"/>
      <c r="O881" s="20"/>
    </row>
    <row r="882" spans="1:15">
      <c r="A882" s="1"/>
      <c r="B882" s="1"/>
      <c r="C882" s="41"/>
      <c r="E882" s="42"/>
      <c r="F882" s="42"/>
      <c r="H882" s="20"/>
      <c r="I882" s="20"/>
      <c r="J882" s="20"/>
      <c r="O882" s="20"/>
    </row>
    <row r="883" spans="1:15">
      <c r="A883" s="1"/>
      <c r="B883" s="1"/>
      <c r="C883" s="41"/>
      <c r="E883" s="42"/>
      <c r="F883" s="42"/>
      <c r="H883" s="20"/>
      <c r="I883" s="20"/>
      <c r="J883" s="20"/>
      <c r="O883" s="20"/>
    </row>
    <row r="884" spans="1:15">
      <c r="A884" s="1"/>
      <c r="B884" s="1"/>
      <c r="C884" s="41"/>
      <c r="E884" s="42"/>
      <c r="F884" s="42"/>
      <c r="H884" s="20"/>
      <c r="I884" s="20"/>
      <c r="J884" s="20"/>
      <c r="O884" s="20"/>
    </row>
    <row r="885" spans="1:15">
      <c r="A885" s="1"/>
      <c r="B885" s="1"/>
      <c r="C885" s="41"/>
      <c r="E885" s="42"/>
      <c r="F885" s="42"/>
      <c r="H885" s="20"/>
      <c r="I885" s="20"/>
      <c r="J885" s="20"/>
      <c r="O885" s="20"/>
    </row>
    <row r="886" spans="1:15">
      <c r="A886" s="1"/>
      <c r="B886" s="1"/>
      <c r="C886" s="41"/>
      <c r="E886" s="42"/>
      <c r="F886" s="42"/>
      <c r="H886" s="20"/>
      <c r="I886" s="20"/>
      <c r="J886" s="20"/>
      <c r="O886" s="20"/>
    </row>
    <row r="887" spans="1:15">
      <c r="A887" s="1"/>
      <c r="B887" s="1"/>
      <c r="C887" s="41"/>
      <c r="E887" s="42"/>
      <c r="F887" s="42"/>
      <c r="H887" s="20"/>
      <c r="I887" s="20"/>
      <c r="J887" s="20"/>
      <c r="O887" s="20"/>
    </row>
    <row r="888" spans="1:15">
      <c r="A888" s="1"/>
      <c r="B888" s="1"/>
      <c r="C888" s="41"/>
      <c r="E888" s="42"/>
      <c r="F888" s="42"/>
      <c r="H888" s="20"/>
      <c r="I888" s="20"/>
      <c r="J888" s="20"/>
      <c r="O888" s="20"/>
    </row>
    <row r="889" spans="1:15">
      <c r="A889" s="1"/>
      <c r="B889" s="1"/>
      <c r="C889" s="41"/>
      <c r="E889" s="42"/>
      <c r="F889" s="42"/>
      <c r="H889" s="20"/>
      <c r="I889" s="20"/>
      <c r="J889" s="20"/>
      <c r="O889" s="20"/>
    </row>
    <row r="890" spans="1:15">
      <c r="A890" s="1"/>
      <c r="B890" s="1"/>
      <c r="C890" s="41"/>
      <c r="E890" s="42"/>
      <c r="F890" s="42"/>
      <c r="H890" s="20"/>
      <c r="I890" s="20"/>
      <c r="J890" s="20"/>
      <c r="O890" s="20"/>
    </row>
    <row r="891" spans="1:15">
      <c r="A891" s="1"/>
      <c r="B891" s="1"/>
      <c r="C891" s="41"/>
      <c r="E891" s="42"/>
      <c r="F891" s="42"/>
      <c r="H891" s="20"/>
      <c r="I891" s="20"/>
      <c r="J891" s="20"/>
      <c r="O891" s="20"/>
    </row>
    <row r="892" spans="1:15">
      <c r="A892" s="1"/>
      <c r="B892" s="1"/>
      <c r="C892" s="41"/>
      <c r="E892" s="42"/>
      <c r="F892" s="42"/>
      <c r="H892" s="20"/>
      <c r="I892" s="20"/>
      <c r="J892" s="20"/>
      <c r="O892" s="20"/>
    </row>
    <row r="893" spans="1:15">
      <c r="A893" s="1"/>
      <c r="B893" s="1"/>
      <c r="C893" s="41"/>
      <c r="E893" s="42"/>
      <c r="F893" s="42"/>
      <c r="H893" s="20"/>
      <c r="I893" s="20"/>
      <c r="J893" s="20"/>
      <c r="O893" s="20"/>
    </row>
    <row r="894" spans="1:15">
      <c r="A894" s="1"/>
      <c r="B894" s="1"/>
      <c r="C894" s="41"/>
      <c r="E894" s="42"/>
      <c r="F894" s="42"/>
      <c r="H894" s="20"/>
      <c r="I894" s="20"/>
      <c r="J894" s="20"/>
      <c r="O894" s="20"/>
    </row>
    <row r="895" spans="1:15">
      <c r="A895" s="1"/>
      <c r="B895" s="1"/>
      <c r="C895" s="41"/>
      <c r="E895" s="42"/>
      <c r="F895" s="42"/>
      <c r="H895" s="20"/>
      <c r="I895" s="20"/>
      <c r="J895" s="20"/>
      <c r="O895" s="20"/>
    </row>
    <row r="896" spans="1:15">
      <c r="A896" s="1"/>
      <c r="B896" s="1"/>
      <c r="C896" s="41"/>
      <c r="E896" s="42"/>
      <c r="F896" s="42"/>
      <c r="H896" s="20"/>
      <c r="I896" s="20"/>
      <c r="J896" s="20"/>
      <c r="O896" s="20"/>
    </row>
    <row r="897" spans="1:15">
      <c r="A897" s="1"/>
      <c r="B897" s="1"/>
      <c r="C897" s="41"/>
      <c r="E897" s="42"/>
      <c r="F897" s="42"/>
      <c r="H897" s="20"/>
      <c r="I897" s="20"/>
      <c r="J897" s="20"/>
      <c r="O897" s="20"/>
    </row>
    <row r="898" spans="1:15">
      <c r="A898" s="1"/>
      <c r="B898" s="1"/>
      <c r="C898" s="41"/>
      <c r="E898" s="42"/>
      <c r="F898" s="42"/>
      <c r="H898" s="20"/>
      <c r="I898" s="20"/>
      <c r="J898" s="20"/>
      <c r="O898" s="20"/>
    </row>
    <row r="899" spans="1:15">
      <c r="A899" s="1"/>
      <c r="B899" s="1"/>
      <c r="C899" s="41"/>
      <c r="E899" s="42"/>
      <c r="F899" s="42"/>
      <c r="H899" s="20"/>
      <c r="I899" s="20"/>
      <c r="J899" s="20"/>
      <c r="O899" s="20"/>
    </row>
    <row r="900" spans="1:15">
      <c r="A900" s="1"/>
      <c r="B900" s="1"/>
      <c r="C900" s="41"/>
      <c r="E900" s="42"/>
      <c r="F900" s="42"/>
      <c r="H900" s="20"/>
      <c r="I900" s="20"/>
      <c r="J900" s="20"/>
      <c r="O900" s="20"/>
    </row>
    <row r="901" spans="1:15">
      <c r="A901" s="1"/>
      <c r="B901" s="1"/>
      <c r="C901" s="41"/>
      <c r="E901" s="42"/>
      <c r="F901" s="42"/>
      <c r="H901" s="20"/>
      <c r="I901" s="20"/>
      <c r="J901" s="20"/>
      <c r="O901" s="20"/>
    </row>
    <row r="902" spans="1:15">
      <c r="A902" s="1"/>
      <c r="B902" s="1"/>
      <c r="C902" s="41"/>
      <c r="E902" s="42"/>
      <c r="F902" s="42"/>
      <c r="H902" s="20"/>
      <c r="I902" s="20"/>
      <c r="J902" s="20"/>
      <c r="O902" s="20"/>
    </row>
    <row r="903" spans="1:15">
      <c r="A903" s="1"/>
      <c r="B903" s="1"/>
      <c r="C903" s="41"/>
      <c r="E903" s="42"/>
      <c r="F903" s="42"/>
      <c r="H903" s="20"/>
      <c r="I903" s="20"/>
      <c r="J903" s="20"/>
      <c r="O903" s="20"/>
    </row>
    <row r="904" spans="1:15">
      <c r="A904" s="1"/>
      <c r="B904" s="1"/>
      <c r="C904" s="41"/>
      <c r="E904" s="42"/>
      <c r="F904" s="42"/>
      <c r="H904" s="20"/>
      <c r="I904" s="20"/>
      <c r="J904" s="20"/>
      <c r="O904" s="20"/>
    </row>
    <row r="905" spans="1:15">
      <c r="A905" s="1"/>
      <c r="B905" s="1"/>
      <c r="C905" s="41"/>
      <c r="E905" s="42"/>
      <c r="F905" s="42"/>
      <c r="H905" s="20"/>
      <c r="I905" s="20"/>
      <c r="J905" s="20"/>
      <c r="O905" s="20"/>
    </row>
    <row r="906" spans="1:15">
      <c r="A906" s="1"/>
      <c r="B906" s="1"/>
      <c r="C906" s="41"/>
      <c r="E906" s="42"/>
      <c r="F906" s="42"/>
      <c r="H906" s="20"/>
      <c r="I906" s="20"/>
      <c r="J906" s="20"/>
      <c r="O906" s="20"/>
    </row>
    <row r="907" spans="1:15">
      <c r="A907" s="1"/>
      <c r="B907" s="1"/>
      <c r="C907" s="41"/>
      <c r="E907" s="42"/>
      <c r="F907" s="42"/>
      <c r="H907" s="20"/>
      <c r="I907" s="20"/>
      <c r="J907" s="20"/>
      <c r="O907" s="20"/>
    </row>
    <row r="908" spans="1:15">
      <c r="A908" s="1"/>
      <c r="B908" s="1"/>
      <c r="C908" s="41"/>
      <c r="E908" s="42"/>
      <c r="F908" s="42"/>
      <c r="H908" s="20"/>
      <c r="I908" s="20"/>
      <c r="J908" s="20"/>
      <c r="O908" s="20"/>
    </row>
    <row r="909" spans="1:15">
      <c r="A909" s="1"/>
      <c r="B909" s="1"/>
      <c r="C909" s="41"/>
      <c r="E909" s="42"/>
      <c r="F909" s="42"/>
      <c r="H909" s="20"/>
      <c r="I909" s="20"/>
      <c r="J909" s="20"/>
      <c r="O909" s="20"/>
    </row>
    <row r="910" spans="1:15">
      <c r="A910" s="1"/>
      <c r="B910" s="1"/>
      <c r="C910" s="41"/>
      <c r="E910" s="42"/>
      <c r="F910" s="42"/>
      <c r="H910" s="20"/>
      <c r="I910" s="20"/>
      <c r="J910" s="20"/>
      <c r="O910" s="20"/>
    </row>
    <row r="911" spans="1:15">
      <c r="A911" s="1"/>
      <c r="B911" s="1"/>
      <c r="C911" s="41"/>
      <c r="E911" s="42"/>
      <c r="F911" s="42"/>
      <c r="H911" s="20"/>
      <c r="I911" s="20"/>
      <c r="J911" s="20"/>
      <c r="O911" s="20"/>
    </row>
    <row r="912" spans="1:15">
      <c r="A912" s="1"/>
      <c r="B912" s="1"/>
      <c r="C912" s="41"/>
      <c r="E912" s="42"/>
      <c r="F912" s="42"/>
      <c r="H912" s="20"/>
      <c r="I912" s="20"/>
      <c r="J912" s="20"/>
      <c r="O912" s="20"/>
    </row>
    <row r="913" spans="1:15">
      <c r="A913" s="1"/>
      <c r="B913" s="1"/>
      <c r="C913" s="41"/>
      <c r="E913" s="42"/>
      <c r="F913" s="42"/>
      <c r="H913" s="20"/>
      <c r="I913" s="20"/>
      <c r="J913" s="20"/>
      <c r="O913" s="20"/>
    </row>
    <row r="914" spans="1:15">
      <c r="A914" s="1"/>
      <c r="B914" s="1"/>
      <c r="C914" s="41"/>
      <c r="E914" s="42"/>
      <c r="F914" s="42"/>
      <c r="H914" s="20"/>
      <c r="I914" s="20"/>
      <c r="J914" s="20"/>
      <c r="O914" s="20"/>
    </row>
    <row r="915" spans="1:15">
      <c r="A915" s="1"/>
      <c r="B915" s="1"/>
      <c r="C915" s="41"/>
      <c r="E915" s="42"/>
      <c r="F915" s="42"/>
      <c r="H915" s="20"/>
      <c r="I915" s="20"/>
      <c r="J915" s="20"/>
      <c r="O915" s="20"/>
    </row>
    <row r="916" spans="1:15">
      <c r="A916" s="1"/>
      <c r="B916" s="1"/>
      <c r="C916" s="41"/>
      <c r="E916" s="42"/>
      <c r="F916" s="42"/>
      <c r="H916" s="20"/>
      <c r="I916" s="20"/>
      <c r="J916" s="20"/>
      <c r="O916" s="20"/>
    </row>
    <row r="917" spans="1:15">
      <c r="A917" s="1"/>
      <c r="B917" s="1"/>
      <c r="C917" s="41"/>
      <c r="E917" s="42"/>
      <c r="F917" s="42"/>
      <c r="H917" s="20"/>
      <c r="I917" s="20"/>
      <c r="J917" s="20"/>
      <c r="O917" s="20"/>
    </row>
    <row r="918" spans="1:15">
      <c r="A918" s="1"/>
      <c r="B918" s="1"/>
      <c r="C918" s="41"/>
      <c r="E918" s="42"/>
      <c r="F918" s="42"/>
      <c r="H918" s="20"/>
      <c r="I918" s="20"/>
      <c r="J918" s="20"/>
      <c r="O918" s="20"/>
    </row>
    <row r="919" spans="1:15">
      <c r="A919" s="1"/>
      <c r="B919" s="1"/>
      <c r="C919" s="41"/>
      <c r="E919" s="42"/>
      <c r="F919" s="42"/>
      <c r="H919" s="20"/>
      <c r="I919" s="20"/>
      <c r="J919" s="20"/>
      <c r="O919" s="20"/>
    </row>
    <row r="920" spans="1:15">
      <c r="A920" s="1"/>
      <c r="B920" s="1"/>
      <c r="C920" s="41"/>
      <c r="E920" s="42"/>
      <c r="F920" s="42"/>
      <c r="H920" s="20"/>
      <c r="I920" s="20"/>
      <c r="J920" s="20"/>
      <c r="O920" s="20"/>
    </row>
    <row r="921" spans="1:15">
      <c r="A921" s="1"/>
      <c r="B921" s="1"/>
      <c r="C921" s="41"/>
      <c r="E921" s="42"/>
      <c r="F921" s="42"/>
      <c r="H921" s="20"/>
      <c r="I921" s="20"/>
      <c r="J921" s="20"/>
      <c r="O921" s="20"/>
    </row>
    <row r="922" spans="1:15">
      <c r="A922" s="1"/>
      <c r="B922" s="1"/>
      <c r="C922" s="41"/>
      <c r="E922" s="42"/>
      <c r="F922" s="42"/>
      <c r="H922" s="20"/>
      <c r="I922" s="20"/>
      <c r="J922" s="20"/>
      <c r="O922" s="20"/>
    </row>
    <row r="923" spans="1:15">
      <c r="A923" s="1"/>
      <c r="B923" s="1"/>
      <c r="C923" s="41"/>
      <c r="E923" s="42"/>
      <c r="F923" s="42"/>
      <c r="H923" s="20"/>
      <c r="I923" s="20"/>
      <c r="J923" s="20"/>
      <c r="O923" s="20"/>
    </row>
    <row r="924" spans="1:15">
      <c r="A924" s="1"/>
      <c r="B924" s="1"/>
      <c r="C924" s="41"/>
      <c r="E924" s="42"/>
      <c r="F924" s="42"/>
      <c r="H924" s="20"/>
      <c r="I924" s="20"/>
      <c r="J924" s="20"/>
      <c r="O924" s="20"/>
    </row>
    <row r="925" spans="1:15">
      <c r="A925" s="1"/>
      <c r="B925" s="1"/>
      <c r="C925" s="41"/>
      <c r="E925" s="42"/>
      <c r="F925" s="42"/>
      <c r="H925" s="20"/>
      <c r="I925" s="20"/>
      <c r="J925" s="20"/>
      <c r="O925" s="20"/>
    </row>
    <row r="926" spans="1:15">
      <c r="A926" s="1"/>
      <c r="B926" s="1"/>
      <c r="C926" s="41"/>
      <c r="E926" s="42"/>
      <c r="F926" s="42"/>
      <c r="H926" s="20"/>
      <c r="I926" s="20"/>
      <c r="J926" s="20"/>
      <c r="O926" s="20"/>
    </row>
    <row r="927" spans="1:15">
      <c r="A927" s="1"/>
      <c r="B927" s="1"/>
      <c r="C927" s="41"/>
      <c r="E927" s="42"/>
      <c r="F927" s="42"/>
      <c r="H927" s="20"/>
      <c r="I927" s="20"/>
      <c r="J927" s="20"/>
      <c r="O927" s="20"/>
    </row>
    <row r="928" spans="1:15">
      <c r="A928" s="1"/>
      <c r="B928" s="1"/>
      <c r="C928" s="41"/>
      <c r="E928" s="42"/>
      <c r="F928" s="42"/>
      <c r="H928" s="20"/>
      <c r="I928" s="20"/>
      <c r="J928" s="20"/>
      <c r="O928" s="20"/>
    </row>
    <row r="929" spans="1:15">
      <c r="A929" s="1"/>
      <c r="B929" s="1"/>
      <c r="C929" s="41"/>
      <c r="E929" s="42"/>
      <c r="F929" s="42"/>
      <c r="H929" s="20"/>
      <c r="I929" s="20"/>
      <c r="J929" s="20"/>
      <c r="O929" s="20"/>
    </row>
    <row r="930" spans="1:15">
      <c r="A930" s="1"/>
      <c r="B930" s="1"/>
      <c r="C930" s="41"/>
      <c r="E930" s="42"/>
      <c r="F930" s="42"/>
      <c r="H930" s="20"/>
      <c r="I930" s="20"/>
      <c r="J930" s="20"/>
      <c r="O930" s="20"/>
    </row>
    <row r="931" spans="1:15">
      <c r="A931" s="1"/>
      <c r="B931" s="1"/>
      <c r="C931" s="41"/>
      <c r="E931" s="42"/>
      <c r="F931" s="42"/>
      <c r="H931" s="20"/>
      <c r="I931" s="20"/>
      <c r="J931" s="20"/>
      <c r="O931" s="20"/>
    </row>
    <row r="932" spans="1:15">
      <c r="A932" s="1"/>
      <c r="B932" s="1"/>
      <c r="C932" s="41"/>
      <c r="E932" s="42"/>
      <c r="F932" s="42"/>
      <c r="H932" s="20"/>
      <c r="I932" s="20"/>
      <c r="J932" s="20"/>
      <c r="O932" s="20"/>
    </row>
    <row r="933" spans="1:15">
      <c r="A933" s="1"/>
      <c r="B933" s="1"/>
      <c r="C933" s="41"/>
      <c r="E933" s="42"/>
      <c r="F933" s="42"/>
      <c r="H933" s="20"/>
      <c r="I933" s="20"/>
      <c r="J933" s="20"/>
      <c r="O933" s="20"/>
    </row>
    <row r="934" spans="1:15">
      <c r="A934" s="1"/>
      <c r="B934" s="1"/>
      <c r="C934" s="41"/>
      <c r="E934" s="42"/>
      <c r="F934" s="42"/>
      <c r="H934" s="20"/>
      <c r="I934" s="20"/>
      <c r="J934" s="20"/>
      <c r="O934" s="20"/>
    </row>
    <row r="935" spans="1:15">
      <c r="A935" s="1"/>
      <c r="B935" s="1"/>
      <c r="C935" s="41"/>
      <c r="E935" s="42"/>
      <c r="F935" s="42"/>
      <c r="H935" s="20"/>
      <c r="I935" s="20"/>
      <c r="J935" s="20"/>
      <c r="O935" s="20"/>
    </row>
    <row r="936" spans="1:15">
      <c r="A936" s="1"/>
      <c r="B936" s="1"/>
      <c r="C936" s="41"/>
      <c r="E936" s="42"/>
      <c r="F936" s="42"/>
      <c r="H936" s="20"/>
      <c r="I936" s="20"/>
      <c r="J936" s="20"/>
      <c r="O936" s="20"/>
    </row>
    <row r="937" spans="1:15">
      <c r="A937" s="1"/>
      <c r="B937" s="1"/>
      <c r="C937" s="41"/>
      <c r="E937" s="42"/>
      <c r="F937" s="42"/>
      <c r="H937" s="20"/>
      <c r="I937" s="20"/>
      <c r="J937" s="20"/>
      <c r="O937" s="20"/>
    </row>
    <row r="938" spans="1:15">
      <c r="A938" s="1"/>
      <c r="B938" s="1"/>
      <c r="C938" s="41"/>
      <c r="E938" s="42"/>
      <c r="F938" s="42"/>
      <c r="H938" s="20"/>
      <c r="I938" s="20"/>
      <c r="J938" s="20"/>
      <c r="O938" s="20"/>
    </row>
    <row r="939" spans="1:15">
      <c r="A939" s="1"/>
      <c r="B939" s="1"/>
      <c r="C939" s="41"/>
      <c r="E939" s="42"/>
      <c r="F939" s="42"/>
      <c r="H939" s="20"/>
      <c r="I939" s="20"/>
      <c r="J939" s="20"/>
      <c r="O939" s="20"/>
    </row>
    <row r="940" spans="1:15">
      <c r="A940" s="1"/>
      <c r="B940" s="1"/>
      <c r="C940" s="41"/>
      <c r="E940" s="42"/>
      <c r="F940" s="42"/>
      <c r="H940" s="20"/>
      <c r="I940" s="20"/>
      <c r="J940" s="20"/>
      <c r="O940" s="20"/>
    </row>
    <row r="941" spans="1:15">
      <c r="A941" s="1"/>
      <c r="B941" s="1"/>
      <c r="C941" s="41"/>
      <c r="E941" s="42"/>
      <c r="F941" s="42"/>
      <c r="H941" s="20"/>
      <c r="I941" s="20"/>
      <c r="J941" s="20"/>
      <c r="O941" s="20"/>
    </row>
    <row r="942" spans="1:15">
      <c r="A942" s="1"/>
      <c r="B942" s="1"/>
      <c r="C942" s="41"/>
      <c r="E942" s="42"/>
      <c r="F942" s="42"/>
      <c r="H942" s="20"/>
      <c r="I942" s="20"/>
      <c r="J942" s="20"/>
      <c r="O942" s="20"/>
    </row>
    <row r="943" spans="1:15">
      <c r="A943" s="1"/>
      <c r="B943" s="1"/>
      <c r="C943" s="41"/>
      <c r="E943" s="42"/>
      <c r="F943" s="42"/>
      <c r="H943" s="20"/>
      <c r="I943" s="20"/>
      <c r="J943" s="20"/>
      <c r="O943" s="20"/>
    </row>
    <row r="944" spans="1:15">
      <c r="A944" s="1"/>
      <c r="B944" s="1"/>
      <c r="C944" s="41"/>
      <c r="E944" s="42"/>
      <c r="F944" s="42"/>
      <c r="H944" s="20"/>
      <c r="I944" s="20"/>
      <c r="J944" s="20"/>
      <c r="O944" s="20"/>
    </row>
    <row r="945" spans="1:15">
      <c r="A945" s="1"/>
      <c r="B945" s="1"/>
      <c r="C945" s="41"/>
      <c r="E945" s="42"/>
      <c r="F945" s="42"/>
      <c r="H945" s="20"/>
      <c r="I945" s="20"/>
      <c r="J945" s="20"/>
      <c r="O945" s="20"/>
    </row>
    <row r="946" spans="1:15">
      <c r="A946" s="1"/>
      <c r="B946" s="1"/>
      <c r="C946" s="41"/>
      <c r="E946" s="42"/>
      <c r="F946" s="42"/>
      <c r="H946" s="20"/>
      <c r="I946" s="20"/>
      <c r="J946" s="20"/>
      <c r="O946" s="20"/>
    </row>
    <row r="947" spans="1:15">
      <c r="A947" s="1"/>
      <c r="B947" s="1"/>
      <c r="C947" s="41"/>
      <c r="E947" s="42"/>
      <c r="F947" s="42"/>
      <c r="H947" s="20"/>
      <c r="I947" s="20"/>
      <c r="J947" s="20"/>
      <c r="O947" s="20"/>
    </row>
    <row r="948" spans="1:15">
      <c r="A948" s="1"/>
      <c r="B948" s="1"/>
      <c r="C948" s="41"/>
      <c r="E948" s="42"/>
      <c r="F948" s="42"/>
      <c r="H948" s="20"/>
      <c r="I948" s="20"/>
      <c r="J948" s="20"/>
      <c r="O948" s="20"/>
    </row>
    <row r="949" spans="1:15">
      <c r="A949" s="1"/>
      <c r="B949" s="1"/>
      <c r="C949" s="41"/>
      <c r="E949" s="42"/>
      <c r="F949" s="42"/>
      <c r="H949" s="20"/>
      <c r="I949" s="20"/>
      <c r="J949" s="20"/>
      <c r="O949" s="20"/>
    </row>
    <row r="950" spans="1:15">
      <c r="A950" s="1"/>
      <c r="B950" s="1"/>
      <c r="C950" s="41"/>
      <c r="E950" s="42"/>
      <c r="F950" s="42"/>
      <c r="H950" s="20"/>
      <c r="I950" s="20"/>
      <c r="J950" s="20"/>
      <c r="O950" s="20"/>
    </row>
    <row r="951" spans="1:15">
      <c r="A951" s="1"/>
      <c r="B951" s="1"/>
      <c r="C951" s="41"/>
      <c r="E951" s="42"/>
      <c r="F951" s="42"/>
      <c r="H951" s="20"/>
      <c r="I951" s="20"/>
      <c r="J951" s="20"/>
      <c r="O951" s="20"/>
    </row>
    <row r="952" spans="1:15">
      <c r="A952" s="1"/>
      <c r="B952" s="1"/>
      <c r="C952" s="41"/>
      <c r="E952" s="42"/>
      <c r="F952" s="42"/>
      <c r="H952" s="20"/>
      <c r="I952" s="20"/>
      <c r="J952" s="20"/>
      <c r="O952" s="20"/>
    </row>
    <row r="953" spans="1:15">
      <c r="A953" s="1"/>
      <c r="B953" s="1"/>
      <c r="C953" s="41"/>
      <c r="E953" s="42"/>
      <c r="F953" s="42"/>
      <c r="H953" s="20"/>
      <c r="I953" s="20"/>
      <c r="J953" s="20"/>
      <c r="O953" s="20"/>
    </row>
    <row r="954" spans="1:15">
      <c r="A954" s="1"/>
      <c r="B954" s="1"/>
      <c r="C954" s="41"/>
      <c r="E954" s="42"/>
      <c r="F954" s="42"/>
      <c r="H954" s="20"/>
      <c r="I954" s="20"/>
      <c r="J954" s="20"/>
      <c r="O954" s="20"/>
    </row>
    <row r="955" spans="1:15">
      <c r="A955" s="1"/>
      <c r="B955" s="1"/>
      <c r="C955" s="41"/>
      <c r="E955" s="42"/>
      <c r="F955" s="42"/>
      <c r="H955" s="20"/>
      <c r="I955" s="20"/>
      <c r="J955" s="20"/>
      <c r="O955" s="20"/>
    </row>
    <row r="956" spans="1:15">
      <c r="A956" s="1"/>
      <c r="B956" s="1"/>
      <c r="C956" s="41"/>
      <c r="E956" s="42"/>
      <c r="F956" s="42"/>
      <c r="H956" s="20"/>
      <c r="I956" s="20"/>
      <c r="J956" s="20"/>
      <c r="O956" s="20"/>
    </row>
    <row r="957" spans="1:15">
      <c r="A957" s="1"/>
      <c r="B957" s="1"/>
      <c r="C957" s="41"/>
      <c r="E957" s="42"/>
      <c r="F957" s="42"/>
      <c r="H957" s="20"/>
      <c r="I957" s="20"/>
      <c r="J957" s="20"/>
      <c r="O957" s="20"/>
    </row>
    <row r="958" spans="1:15">
      <c r="A958" s="1"/>
      <c r="B958" s="1"/>
      <c r="C958" s="41"/>
      <c r="E958" s="42"/>
      <c r="F958" s="42"/>
      <c r="H958" s="20"/>
      <c r="I958" s="20"/>
      <c r="J958" s="20"/>
      <c r="O958" s="20"/>
    </row>
    <row r="959" spans="1:15">
      <c r="A959" s="1"/>
      <c r="B959" s="1"/>
      <c r="C959" s="41"/>
      <c r="E959" s="42"/>
      <c r="F959" s="42"/>
      <c r="H959" s="20"/>
      <c r="I959" s="20"/>
      <c r="J959" s="20"/>
      <c r="O959" s="20"/>
    </row>
    <row r="960" spans="1:15">
      <c r="A960" s="1"/>
      <c r="B960" s="1"/>
      <c r="C960" s="41"/>
      <c r="E960" s="42"/>
      <c r="F960" s="42"/>
      <c r="H960" s="20"/>
      <c r="I960" s="20"/>
      <c r="J960" s="20"/>
      <c r="O960" s="20"/>
    </row>
    <row r="961" spans="1:15">
      <c r="A961" s="1"/>
      <c r="B961" s="1"/>
      <c r="C961" s="41"/>
      <c r="E961" s="42"/>
      <c r="F961" s="42"/>
      <c r="H961" s="20"/>
      <c r="I961" s="20"/>
      <c r="J961" s="20"/>
      <c r="O961" s="20"/>
    </row>
    <row r="962" spans="1:15">
      <c r="A962" s="1"/>
      <c r="B962" s="1"/>
      <c r="C962" s="41"/>
      <c r="E962" s="42"/>
      <c r="F962" s="42"/>
      <c r="H962" s="20"/>
      <c r="I962" s="20"/>
      <c r="J962" s="20"/>
      <c r="O962" s="20"/>
    </row>
    <row r="963" spans="1:15">
      <c r="A963" s="1"/>
      <c r="B963" s="1"/>
      <c r="C963" s="41"/>
      <c r="E963" s="42"/>
      <c r="F963" s="42"/>
      <c r="H963" s="20"/>
      <c r="I963" s="20"/>
      <c r="J963" s="20"/>
      <c r="O963" s="20"/>
    </row>
    <row r="964" spans="1:15">
      <c r="A964" s="1"/>
      <c r="B964" s="1"/>
      <c r="C964" s="41"/>
      <c r="E964" s="42"/>
      <c r="F964" s="42"/>
      <c r="H964" s="20"/>
      <c r="I964" s="20"/>
      <c r="J964" s="20"/>
      <c r="O964" s="20"/>
    </row>
    <row r="965" spans="1:15">
      <c r="A965" s="1"/>
      <c r="B965" s="1"/>
      <c r="C965" s="41"/>
      <c r="E965" s="42"/>
      <c r="F965" s="42"/>
      <c r="H965" s="20"/>
      <c r="I965" s="20"/>
      <c r="J965" s="20"/>
      <c r="O965" s="20"/>
    </row>
    <row r="966" spans="1:15">
      <c r="A966" s="1"/>
      <c r="B966" s="1"/>
      <c r="C966" s="41"/>
      <c r="E966" s="42"/>
      <c r="F966" s="42"/>
      <c r="H966" s="20"/>
      <c r="I966" s="20"/>
      <c r="J966" s="20"/>
      <c r="O966" s="20"/>
    </row>
    <row r="967" spans="1:15">
      <c r="A967" s="1"/>
      <c r="B967" s="1"/>
      <c r="C967" s="41"/>
      <c r="E967" s="42"/>
      <c r="F967" s="42"/>
      <c r="H967" s="20"/>
      <c r="I967" s="20"/>
      <c r="J967" s="20"/>
      <c r="O967" s="20"/>
    </row>
    <row r="968" spans="1:15">
      <c r="A968" s="1"/>
      <c r="B968" s="1"/>
      <c r="C968" s="41"/>
      <c r="E968" s="42"/>
      <c r="F968" s="42"/>
      <c r="H968" s="20"/>
      <c r="I968" s="20"/>
      <c r="J968" s="20"/>
      <c r="O968" s="20"/>
    </row>
    <row r="969" spans="1:15">
      <c r="A969" s="1"/>
      <c r="B969" s="1"/>
      <c r="C969" s="41"/>
      <c r="E969" s="42"/>
      <c r="F969" s="42"/>
      <c r="H969" s="20"/>
      <c r="I969" s="20"/>
      <c r="J969" s="20"/>
      <c r="O969" s="20"/>
    </row>
    <row r="970" spans="1:15">
      <c r="A970" s="1"/>
      <c r="B970" s="1"/>
      <c r="C970" s="41"/>
      <c r="E970" s="42"/>
      <c r="F970" s="42"/>
      <c r="H970" s="20"/>
      <c r="I970" s="20"/>
      <c r="J970" s="20"/>
      <c r="O970" s="20"/>
    </row>
    <row r="971" spans="1:15">
      <c r="A971" s="1"/>
      <c r="B971" s="1"/>
      <c r="C971" s="41"/>
      <c r="E971" s="42"/>
      <c r="F971" s="42"/>
      <c r="H971" s="20"/>
      <c r="I971" s="20"/>
      <c r="J971" s="20"/>
      <c r="O971" s="20"/>
    </row>
    <row r="972" spans="1:15">
      <c r="A972" s="1"/>
      <c r="B972" s="1"/>
      <c r="C972" s="41"/>
      <c r="E972" s="42"/>
      <c r="F972" s="42"/>
      <c r="H972" s="20"/>
      <c r="I972" s="20"/>
      <c r="J972" s="20"/>
      <c r="O972" s="20"/>
    </row>
    <row r="973" spans="1:15">
      <c r="A973" s="1"/>
      <c r="B973" s="1"/>
      <c r="C973" s="41"/>
      <c r="E973" s="42"/>
      <c r="F973" s="42"/>
      <c r="H973" s="20"/>
      <c r="I973" s="20"/>
      <c r="J973" s="20"/>
      <c r="O973" s="20"/>
    </row>
    <row r="974" spans="1:15">
      <c r="A974" s="1"/>
      <c r="B974" s="1"/>
      <c r="C974" s="41"/>
      <c r="E974" s="42"/>
      <c r="F974" s="42"/>
      <c r="H974" s="20"/>
      <c r="I974" s="20"/>
      <c r="J974" s="20"/>
      <c r="O974" s="20"/>
    </row>
    <row r="975" spans="1:15">
      <c r="A975" s="1"/>
      <c r="B975" s="1"/>
      <c r="C975" s="41"/>
      <c r="E975" s="42"/>
      <c r="F975" s="42"/>
      <c r="H975" s="20"/>
      <c r="I975" s="20"/>
      <c r="J975" s="20"/>
      <c r="O975" s="20"/>
    </row>
    <row r="976" spans="1:15">
      <c r="A976" s="1"/>
      <c r="B976" s="1"/>
      <c r="C976" s="41"/>
      <c r="E976" s="42"/>
      <c r="F976" s="42"/>
      <c r="H976" s="20"/>
      <c r="I976" s="20"/>
      <c r="J976" s="20"/>
      <c r="O976" s="20"/>
    </row>
    <row r="977" spans="1:15">
      <c r="A977" s="1"/>
      <c r="B977" s="1"/>
      <c r="C977" s="41"/>
      <c r="E977" s="42"/>
      <c r="F977" s="42"/>
      <c r="H977" s="20"/>
      <c r="I977" s="20"/>
      <c r="J977" s="20"/>
      <c r="O977" s="20"/>
    </row>
    <row r="978" spans="1:15">
      <c r="A978" s="1"/>
      <c r="B978" s="1"/>
      <c r="C978" s="41"/>
      <c r="E978" s="42"/>
      <c r="F978" s="42"/>
      <c r="H978" s="20"/>
      <c r="I978" s="20"/>
      <c r="J978" s="20"/>
      <c r="O978" s="20"/>
    </row>
    <row r="979" spans="1:15">
      <c r="A979" s="1"/>
      <c r="B979" s="1"/>
      <c r="C979" s="41"/>
      <c r="E979" s="42"/>
      <c r="F979" s="42"/>
      <c r="H979" s="20"/>
      <c r="I979" s="20"/>
      <c r="J979" s="20"/>
      <c r="O979" s="20"/>
    </row>
    <row r="980" spans="1:15">
      <c r="A980" s="1"/>
      <c r="B980" s="1"/>
      <c r="C980" s="41"/>
      <c r="E980" s="42"/>
      <c r="F980" s="42"/>
      <c r="H980" s="20"/>
      <c r="I980" s="20"/>
      <c r="J980" s="20"/>
      <c r="O980" s="20"/>
    </row>
    <row r="981" spans="1:15">
      <c r="A981" s="1"/>
      <c r="B981" s="1"/>
      <c r="C981" s="41"/>
      <c r="E981" s="42"/>
      <c r="F981" s="42"/>
      <c r="H981" s="20"/>
      <c r="I981" s="20"/>
      <c r="J981" s="20"/>
      <c r="O981" s="20"/>
    </row>
    <row r="982" spans="1:15">
      <c r="A982" s="1"/>
      <c r="B982" s="1"/>
      <c r="C982" s="41"/>
      <c r="E982" s="42"/>
      <c r="F982" s="42"/>
      <c r="H982" s="20"/>
      <c r="I982" s="20"/>
      <c r="J982" s="20"/>
      <c r="O982" s="20"/>
    </row>
    <row r="983" spans="1:15">
      <c r="A983" s="1"/>
      <c r="B983" s="1"/>
      <c r="C983" s="41"/>
      <c r="E983" s="42"/>
      <c r="F983" s="42"/>
      <c r="H983" s="20"/>
      <c r="I983" s="20"/>
      <c r="J983" s="20"/>
      <c r="O983" s="20"/>
    </row>
    <row r="984" spans="1:15">
      <c r="A984" s="1"/>
      <c r="B984" s="1"/>
      <c r="C984" s="41"/>
      <c r="E984" s="42"/>
      <c r="F984" s="42"/>
      <c r="H984" s="20"/>
      <c r="I984" s="20"/>
      <c r="J984" s="20"/>
      <c r="O984" s="20"/>
    </row>
    <row r="985" spans="1:15">
      <c r="A985" s="1"/>
      <c r="B985" s="1"/>
      <c r="C985" s="41"/>
      <c r="E985" s="42"/>
      <c r="F985" s="42"/>
      <c r="H985" s="20"/>
      <c r="I985" s="20"/>
      <c r="J985" s="20"/>
      <c r="O985" s="20"/>
    </row>
    <row r="986" spans="1:15">
      <c r="A986" s="1"/>
      <c r="B986" s="1"/>
      <c r="C986" s="41"/>
      <c r="E986" s="42"/>
      <c r="F986" s="42"/>
      <c r="H986" s="20"/>
      <c r="I986" s="20"/>
      <c r="J986" s="20"/>
      <c r="O986" s="20"/>
    </row>
    <row r="987" spans="1:15">
      <c r="A987" s="1"/>
      <c r="B987" s="1"/>
      <c r="C987" s="41"/>
      <c r="E987" s="42"/>
      <c r="F987" s="42"/>
      <c r="H987" s="20"/>
      <c r="I987" s="20"/>
      <c r="J987" s="20"/>
      <c r="O987" s="20"/>
    </row>
    <row r="988" spans="1:15">
      <c r="A988" s="1"/>
      <c r="B988" s="1"/>
      <c r="C988" s="41"/>
      <c r="E988" s="42"/>
      <c r="F988" s="42"/>
      <c r="H988" s="20"/>
      <c r="I988" s="20"/>
      <c r="J988" s="20"/>
      <c r="O988" s="20"/>
    </row>
    <row r="989" spans="1:15">
      <c r="A989" s="1"/>
      <c r="B989" s="1"/>
      <c r="C989" s="41"/>
      <c r="E989" s="42"/>
      <c r="F989" s="42"/>
      <c r="H989" s="20"/>
      <c r="I989" s="20"/>
      <c r="J989" s="20"/>
      <c r="O989" s="20"/>
    </row>
    <row r="990" spans="1:15">
      <c r="A990" s="1"/>
      <c r="B990" s="1"/>
      <c r="C990" s="41"/>
      <c r="E990" s="42"/>
      <c r="F990" s="42"/>
      <c r="H990" s="20"/>
      <c r="I990" s="20"/>
      <c r="J990" s="20"/>
      <c r="O990" s="20"/>
    </row>
    <row r="991" spans="1:15">
      <c r="A991" s="1"/>
      <c r="B991" s="1"/>
      <c r="C991" s="41"/>
      <c r="E991" s="42"/>
      <c r="F991" s="42"/>
      <c r="H991" s="20"/>
      <c r="I991" s="20"/>
      <c r="J991" s="20"/>
      <c r="O991" s="20"/>
    </row>
    <row r="992" spans="1:15">
      <c r="A992" s="1"/>
      <c r="B992" s="1"/>
      <c r="C992" s="41"/>
      <c r="E992" s="42"/>
      <c r="F992" s="42"/>
      <c r="H992" s="20"/>
      <c r="I992" s="20"/>
      <c r="J992" s="20"/>
      <c r="O992" s="20"/>
    </row>
    <row r="993" spans="1:15">
      <c r="A993" s="1"/>
      <c r="B993" s="1"/>
      <c r="C993" s="41"/>
      <c r="E993" s="42"/>
      <c r="F993" s="42"/>
      <c r="H993" s="20"/>
      <c r="I993" s="20"/>
      <c r="J993" s="20"/>
      <c r="O993" s="20"/>
    </row>
    <row r="994" spans="1:15">
      <c r="A994" s="1"/>
      <c r="B994" s="1"/>
      <c r="C994" s="41"/>
      <c r="E994" s="42"/>
      <c r="F994" s="42"/>
      <c r="H994" s="20"/>
      <c r="I994" s="20"/>
      <c r="J994" s="20"/>
      <c r="O994" s="20"/>
    </row>
    <row r="995" spans="1:15">
      <c r="A995" s="1"/>
      <c r="B995" s="1"/>
      <c r="C995" s="41"/>
      <c r="E995" s="42"/>
      <c r="F995" s="42"/>
      <c r="H995" s="20"/>
      <c r="I995" s="20"/>
      <c r="J995" s="20"/>
      <c r="O995" s="20"/>
    </row>
    <row r="996" spans="1:15">
      <c r="A996" s="1"/>
      <c r="B996" s="1"/>
      <c r="C996" s="41"/>
      <c r="E996" s="42"/>
      <c r="F996" s="42"/>
      <c r="H996" s="20"/>
      <c r="I996" s="20"/>
      <c r="J996" s="20"/>
      <c r="O996" s="20"/>
    </row>
    <row r="997" spans="1:15">
      <c r="A997" s="1"/>
      <c r="B997" s="1"/>
      <c r="C997" s="41"/>
      <c r="E997" s="42"/>
      <c r="F997" s="42"/>
      <c r="H997" s="20"/>
      <c r="I997" s="20"/>
      <c r="J997" s="20"/>
      <c r="O997" s="20"/>
    </row>
    <row r="998" spans="1:15">
      <c r="A998" s="1"/>
      <c r="B998" s="1"/>
      <c r="C998" s="41"/>
      <c r="E998" s="42"/>
      <c r="F998" s="42"/>
      <c r="H998" s="20"/>
      <c r="I998" s="20"/>
      <c r="J998" s="20"/>
      <c r="O998" s="20"/>
    </row>
    <row r="999" spans="1:15">
      <c r="A999" s="1"/>
      <c r="B999" s="1"/>
      <c r="C999" s="41"/>
      <c r="E999" s="42"/>
      <c r="F999" s="42"/>
      <c r="H999" s="20"/>
      <c r="I999" s="20"/>
      <c r="J999" s="20"/>
      <c r="O999" s="20"/>
    </row>
    <row r="1000" spans="1:15">
      <c r="A1000" s="1"/>
      <c r="B1000" s="1"/>
      <c r="C1000" s="41"/>
      <c r="E1000" s="42"/>
      <c r="F1000" s="42"/>
      <c r="H1000" s="20"/>
      <c r="I1000" s="20"/>
      <c r="J1000" s="20"/>
      <c r="O1000" s="20"/>
    </row>
    <row r="1001" spans="1:15">
      <c r="A1001" s="1"/>
      <c r="B1001" s="1"/>
      <c r="C1001" s="41"/>
      <c r="E1001" s="42"/>
      <c r="F1001" s="42"/>
      <c r="H1001" s="20"/>
      <c r="I1001" s="20"/>
      <c r="J1001" s="20"/>
      <c r="O1001" s="20"/>
    </row>
    <row r="1002" spans="1:15">
      <c r="A1002" s="1"/>
      <c r="B1002" s="1"/>
      <c r="C1002" s="41"/>
      <c r="E1002" s="42"/>
      <c r="F1002" s="42"/>
      <c r="H1002" s="20"/>
      <c r="I1002" s="20"/>
      <c r="J1002" s="20"/>
      <c r="O1002" s="20"/>
    </row>
    <row r="1003" spans="1:15">
      <c r="A1003" s="1"/>
      <c r="B1003" s="1"/>
      <c r="C1003" s="41"/>
      <c r="E1003" s="42"/>
      <c r="F1003" s="42"/>
      <c r="H1003" s="20"/>
      <c r="I1003" s="20"/>
      <c r="J1003" s="20"/>
      <c r="O1003" s="20"/>
    </row>
    <row r="1004" spans="1:15">
      <c r="A1004" s="1"/>
      <c r="B1004" s="1"/>
      <c r="C1004" s="41"/>
      <c r="E1004" s="42"/>
      <c r="F1004" s="42"/>
      <c r="H1004" s="20"/>
      <c r="I1004" s="20"/>
      <c r="J1004" s="20"/>
      <c r="O1004" s="20"/>
    </row>
    <row r="1005" spans="1:15">
      <c r="A1005" s="1"/>
      <c r="B1005" s="1"/>
      <c r="C1005" s="41"/>
      <c r="E1005" s="42"/>
      <c r="F1005" s="42"/>
      <c r="H1005" s="20"/>
      <c r="I1005" s="20"/>
      <c r="J1005" s="20"/>
      <c r="O1005" s="20"/>
    </row>
    <row r="1006" spans="1:15">
      <c r="A1006" s="1"/>
      <c r="B1006" s="1"/>
      <c r="C1006" s="41"/>
      <c r="E1006" s="42"/>
      <c r="F1006" s="42"/>
      <c r="H1006" s="20"/>
      <c r="I1006" s="20"/>
      <c r="J1006" s="20"/>
      <c r="O1006" s="20"/>
    </row>
    <row r="1007" spans="1:15">
      <c r="A1007" s="1"/>
      <c r="B1007" s="1"/>
      <c r="C1007" s="41"/>
      <c r="E1007" s="42"/>
      <c r="F1007" s="42"/>
      <c r="H1007" s="20"/>
      <c r="I1007" s="20"/>
      <c r="J1007" s="20"/>
      <c r="O1007" s="20"/>
    </row>
    <row r="1008" spans="1:15">
      <c r="A1008" s="1"/>
      <c r="B1008" s="1"/>
      <c r="C1008" s="41"/>
      <c r="E1008" s="42"/>
      <c r="F1008" s="42"/>
      <c r="H1008" s="20"/>
      <c r="I1008" s="20"/>
      <c r="J1008" s="20"/>
      <c r="O1008" s="20"/>
    </row>
    <row r="1009" spans="1:15">
      <c r="A1009" s="1"/>
      <c r="B1009" s="1"/>
      <c r="C1009" s="41"/>
      <c r="E1009" s="42"/>
      <c r="F1009" s="42"/>
      <c r="H1009" s="20"/>
      <c r="I1009" s="20"/>
      <c r="J1009" s="20"/>
      <c r="O1009" s="20"/>
    </row>
    <row r="1010" spans="1:15">
      <c r="A1010" s="1"/>
      <c r="B1010" s="1"/>
      <c r="C1010" s="41"/>
      <c r="E1010" s="42"/>
      <c r="F1010" s="42"/>
      <c r="H1010" s="20"/>
      <c r="I1010" s="20"/>
      <c r="J1010" s="20"/>
      <c r="O1010" s="20"/>
    </row>
    <row r="1011" spans="1:15">
      <c r="A1011" s="1"/>
      <c r="B1011" s="1"/>
      <c r="C1011" s="41"/>
      <c r="E1011" s="42"/>
      <c r="F1011" s="42"/>
      <c r="H1011" s="20"/>
      <c r="I1011" s="20"/>
      <c r="J1011" s="20"/>
      <c r="O1011" s="20"/>
    </row>
    <row r="1012" spans="1:15">
      <c r="A1012" s="1"/>
      <c r="B1012" s="1"/>
      <c r="C1012" s="41"/>
      <c r="E1012" s="42"/>
      <c r="F1012" s="42"/>
      <c r="H1012" s="20"/>
      <c r="I1012" s="20"/>
      <c r="J1012" s="20"/>
      <c r="O1012" s="20"/>
    </row>
    <row r="1013" spans="1:15">
      <c r="A1013" s="1"/>
      <c r="B1013" s="1"/>
      <c r="C1013" s="41"/>
      <c r="E1013" s="42"/>
      <c r="F1013" s="42"/>
      <c r="H1013" s="20"/>
      <c r="I1013" s="20"/>
      <c r="J1013" s="20"/>
      <c r="O1013" s="20"/>
    </row>
    <row r="1014" spans="1:15">
      <c r="A1014" s="1"/>
      <c r="B1014" s="1"/>
      <c r="C1014" s="41"/>
      <c r="E1014" s="42"/>
      <c r="F1014" s="42"/>
      <c r="H1014" s="20"/>
      <c r="I1014" s="20"/>
      <c r="J1014" s="20"/>
      <c r="O1014" s="20"/>
    </row>
    <row r="1015" spans="1:15">
      <c r="A1015" s="1"/>
      <c r="B1015" s="1"/>
      <c r="C1015" s="41"/>
      <c r="E1015" s="42"/>
      <c r="F1015" s="42"/>
      <c r="H1015" s="20"/>
      <c r="I1015" s="20"/>
      <c r="J1015" s="20"/>
      <c r="O1015" s="20"/>
    </row>
    <row r="1016" spans="1:15">
      <c r="A1016" s="1"/>
      <c r="B1016" s="1"/>
      <c r="C1016" s="41"/>
      <c r="E1016" s="42"/>
      <c r="F1016" s="42"/>
      <c r="H1016" s="20"/>
      <c r="I1016" s="20"/>
      <c r="J1016" s="20"/>
      <c r="O1016" s="20"/>
    </row>
    <row r="1017" spans="1:15">
      <c r="A1017" s="1"/>
      <c r="B1017" s="1"/>
      <c r="C1017" s="41"/>
      <c r="E1017" s="42"/>
      <c r="F1017" s="42"/>
      <c r="H1017" s="20"/>
      <c r="I1017" s="20"/>
      <c r="J1017" s="20"/>
      <c r="O1017" s="20"/>
    </row>
    <row r="1018" spans="1:15">
      <c r="A1018" s="1"/>
      <c r="B1018" s="1"/>
      <c r="C1018" s="41"/>
      <c r="E1018" s="42"/>
      <c r="F1018" s="42"/>
      <c r="H1018" s="20"/>
      <c r="I1018" s="20"/>
      <c r="J1018" s="20"/>
      <c r="O1018" s="20"/>
    </row>
    <row r="1019" spans="1:15">
      <c r="A1019" s="1"/>
      <c r="B1019" s="1"/>
      <c r="C1019" s="41"/>
      <c r="E1019" s="42"/>
      <c r="F1019" s="42"/>
      <c r="H1019" s="20"/>
      <c r="I1019" s="20"/>
      <c r="J1019" s="20"/>
      <c r="O1019" s="20"/>
    </row>
    <row r="1020" spans="1:15">
      <c r="A1020" s="1"/>
      <c r="B1020" s="1"/>
      <c r="C1020" s="41"/>
      <c r="E1020" s="42"/>
      <c r="F1020" s="42"/>
      <c r="H1020" s="20"/>
      <c r="I1020" s="20"/>
      <c r="J1020" s="20"/>
      <c r="O1020" s="20"/>
    </row>
    <row r="1021" spans="1:15">
      <c r="A1021" s="1"/>
      <c r="B1021" s="1"/>
      <c r="C1021" s="41"/>
      <c r="E1021" s="42"/>
      <c r="F1021" s="42"/>
      <c r="H1021" s="20"/>
      <c r="I1021" s="20"/>
      <c r="J1021" s="20"/>
      <c r="O1021" s="20"/>
    </row>
    <row r="1022" spans="1:15">
      <c r="A1022" s="1"/>
      <c r="B1022" s="1"/>
      <c r="C1022" s="41"/>
      <c r="E1022" s="42"/>
      <c r="F1022" s="42"/>
      <c r="H1022" s="20"/>
      <c r="I1022" s="20"/>
      <c r="J1022" s="20"/>
      <c r="O1022" s="20"/>
    </row>
    <row r="1023" spans="1:15">
      <c r="A1023" s="1"/>
      <c r="B1023" s="1"/>
      <c r="C1023" s="41"/>
      <c r="E1023" s="42"/>
      <c r="F1023" s="42"/>
      <c r="H1023" s="20"/>
      <c r="I1023" s="20"/>
      <c r="J1023" s="20"/>
      <c r="O1023" s="20"/>
    </row>
    <row r="1024" spans="1:15">
      <c r="A1024" s="1"/>
      <c r="B1024" s="1"/>
      <c r="C1024" s="41"/>
      <c r="E1024" s="42"/>
      <c r="F1024" s="42"/>
      <c r="H1024" s="20"/>
      <c r="I1024" s="20"/>
      <c r="J1024" s="20"/>
      <c r="O1024" s="20"/>
    </row>
    <row r="1025" spans="1:15">
      <c r="A1025" s="1"/>
      <c r="B1025" s="1"/>
      <c r="C1025" s="41"/>
      <c r="E1025" s="42"/>
      <c r="F1025" s="42"/>
      <c r="H1025" s="20"/>
      <c r="I1025" s="20"/>
      <c r="J1025" s="20"/>
      <c r="O1025" s="20"/>
    </row>
    <row r="1026" spans="1:15">
      <c r="A1026" s="1"/>
      <c r="B1026" s="1"/>
      <c r="C1026" s="41"/>
      <c r="E1026" s="42"/>
      <c r="F1026" s="42"/>
      <c r="H1026" s="20"/>
      <c r="I1026" s="20"/>
      <c r="J1026" s="20"/>
      <c r="O1026" s="20"/>
    </row>
    <row r="1027" spans="1:15">
      <c r="A1027" s="1"/>
      <c r="B1027" s="1"/>
      <c r="C1027" s="41"/>
      <c r="E1027" s="42"/>
      <c r="F1027" s="42"/>
      <c r="H1027" s="20"/>
      <c r="I1027" s="20"/>
      <c r="J1027" s="20"/>
      <c r="O1027" s="20"/>
    </row>
    <row r="1028" spans="1:15">
      <c r="A1028" s="1"/>
      <c r="B1028" s="1"/>
      <c r="C1028" s="41"/>
      <c r="E1028" s="42"/>
      <c r="F1028" s="42"/>
      <c r="H1028" s="20"/>
      <c r="I1028" s="20"/>
      <c r="J1028" s="20"/>
      <c r="O1028" s="20"/>
    </row>
    <row r="1029" spans="1:15">
      <c r="A1029" s="1"/>
      <c r="B1029" s="1"/>
      <c r="C1029" s="41"/>
      <c r="E1029" s="42"/>
      <c r="F1029" s="42"/>
      <c r="H1029" s="20"/>
      <c r="I1029" s="20"/>
      <c r="J1029" s="20"/>
      <c r="O1029" s="20"/>
    </row>
    <row r="1030" spans="1:15">
      <c r="A1030" s="1"/>
      <c r="B1030" s="1"/>
      <c r="C1030" s="41"/>
      <c r="E1030" s="42"/>
      <c r="F1030" s="42"/>
      <c r="H1030" s="20"/>
      <c r="I1030" s="20"/>
      <c r="J1030" s="20"/>
      <c r="O1030" s="20"/>
    </row>
    <row r="1031" spans="1:15">
      <c r="A1031" s="1"/>
      <c r="B1031" s="1"/>
      <c r="C1031" s="41"/>
      <c r="E1031" s="42"/>
      <c r="F1031" s="42"/>
      <c r="H1031" s="20"/>
      <c r="I1031" s="20"/>
      <c r="J1031" s="20"/>
      <c r="O1031" s="20"/>
    </row>
    <row r="1032" spans="1:15">
      <c r="A1032" s="1"/>
      <c r="B1032" s="1"/>
      <c r="C1032" s="41"/>
      <c r="E1032" s="42"/>
      <c r="F1032" s="42"/>
      <c r="H1032" s="20"/>
      <c r="I1032" s="20"/>
      <c r="J1032" s="20"/>
      <c r="O1032" s="20"/>
    </row>
    <row r="1033" spans="1:15">
      <c r="A1033" s="1"/>
      <c r="B1033" s="1"/>
      <c r="C1033" s="41"/>
      <c r="E1033" s="42"/>
      <c r="F1033" s="42"/>
      <c r="H1033" s="20"/>
      <c r="I1033" s="20"/>
      <c r="J1033" s="20"/>
      <c r="O1033" s="20"/>
    </row>
    <row r="1034" spans="1:15">
      <c r="A1034" s="1"/>
      <c r="B1034" s="1"/>
      <c r="C1034" s="41"/>
      <c r="E1034" s="42"/>
      <c r="F1034" s="42"/>
      <c r="H1034" s="20"/>
      <c r="I1034" s="20"/>
      <c r="J1034" s="20"/>
      <c r="O1034" s="20"/>
    </row>
    <row r="1035" spans="1:15">
      <c r="A1035" s="1"/>
      <c r="B1035" s="1"/>
      <c r="C1035" s="41"/>
      <c r="E1035" s="42"/>
      <c r="F1035" s="42"/>
      <c r="H1035" s="20"/>
      <c r="I1035" s="20"/>
      <c r="J1035" s="20"/>
      <c r="O1035" s="20"/>
    </row>
    <row r="1036" spans="1:15">
      <c r="A1036" s="1"/>
      <c r="B1036" s="1"/>
      <c r="C1036" s="41"/>
      <c r="E1036" s="42"/>
      <c r="F1036" s="42"/>
      <c r="H1036" s="20"/>
      <c r="I1036" s="20"/>
      <c r="J1036" s="20"/>
      <c r="O1036" s="20"/>
    </row>
    <row r="1037" spans="1:15">
      <c r="A1037" s="1"/>
      <c r="B1037" s="1"/>
      <c r="C1037" s="41"/>
      <c r="E1037" s="42"/>
      <c r="F1037" s="42"/>
      <c r="H1037" s="20"/>
      <c r="I1037" s="20"/>
      <c r="J1037" s="20"/>
      <c r="O1037" s="20"/>
    </row>
    <row r="1038" spans="1:15">
      <c r="A1038" s="1"/>
      <c r="B1038" s="1"/>
      <c r="C1038" s="41"/>
      <c r="E1038" s="42"/>
      <c r="F1038" s="42"/>
      <c r="H1038" s="20"/>
      <c r="I1038" s="20"/>
      <c r="J1038" s="20"/>
      <c r="O1038" s="20"/>
    </row>
    <row r="1039" spans="1:15">
      <c r="A1039" s="1"/>
      <c r="B1039" s="1"/>
      <c r="C1039" s="41"/>
      <c r="E1039" s="42"/>
      <c r="F1039" s="42"/>
      <c r="H1039" s="20"/>
      <c r="I1039" s="20"/>
      <c r="J1039" s="20"/>
      <c r="O1039" s="20"/>
    </row>
    <row r="1040" spans="1:15">
      <c r="A1040" s="1"/>
      <c r="B1040" s="1"/>
      <c r="C1040" s="41"/>
      <c r="E1040" s="42"/>
      <c r="F1040" s="42"/>
      <c r="H1040" s="20"/>
      <c r="I1040" s="20"/>
      <c r="J1040" s="20"/>
      <c r="O1040" s="20"/>
    </row>
    <row r="1041" spans="1:15">
      <c r="A1041" s="1"/>
      <c r="B1041" s="1"/>
      <c r="C1041" s="41"/>
      <c r="E1041" s="42"/>
      <c r="F1041" s="42"/>
      <c r="H1041" s="20"/>
      <c r="I1041" s="20"/>
      <c r="J1041" s="20"/>
      <c r="O1041" s="20"/>
    </row>
    <row r="1042" spans="1:15">
      <c r="A1042" s="1"/>
      <c r="B1042" s="1"/>
      <c r="C1042" s="41"/>
      <c r="E1042" s="42"/>
      <c r="F1042" s="42"/>
      <c r="H1042" s="20"/>
      <c r="I1042" s="20"/>
      <c r="J1042" s="20"/>
      <c r="O1042" s="20"/>
    </row>
    <row r="1043" spans="1:15">
      <c r="A1043" s="1"/>
      <c r="B1043" s="1"/>
      <c r="C1043" s="41"/>
      <c r="E1043" s="42"/>
      <c r="F1043" s="42"/>
      <c r="H1043" s="20"/>
      <c r="I1043" s="20"/>
      <c r="J1043" s="20"/>
      <c r="O1043" s="20"/>
    </row>
    <row r="1044" spans="1:15">
      <c r="A1044" s="1"/>
      <c r="B1044" s="1"/>
      <c r="C1044" s="41"/>
      <c r="E1044" s="42"/>
      <c r="F1044" s="42"/>
      <c r="H1044" s="20"/>
      <c r="I1044" s="20"/>
      <c r="J1044" s="20"/>
      <c r="O1044" s="20"/>
    </row>
    <row r="1045" spans="1:15">
      <c r="A1045" s="1"/>
      <c r="B1045" s="1"/>
      <c r="C1045" s="41"/>
      <c r="E1045" s="42"/>
      <c r="F1045" s="42"/>
      <c r="H1045" s="20"/>
      <c r="I1045" s="20"/>
      <c r="J1045" s="20"/>
      <c r="O1045" s="20"/>
    </row>
    <row r="1046" spans="1:15">
      <c r="A1046" s="1"/>
      <c r="B1046" s="1"/>
      <c r="C1046" s="41"/>
      <c r="E1046" s="42"/>
      <c r="F1046" s="42"/>
      <c r="H1046" s="20"/>
      <c r="I1046" s="20"/>
      <c r="J1046" s="20"/>
      <c r="O1046" s="20"/>
    </row>
    <row r="1047" spans="1:15">
      <c r="A1047" s="1"/>
      <c r="B1047" s="1"/>
      <c r="C1047" s="41"/>
      <c r="E1047" s="42"/>
      <c r="F1047" s="42"/>
      <c r="H1047" s="20"/>
      <c r="I1047" s="20"/>
      <c r="J1047" s="20"/>
      <c r="O1047" s="20"/>
    </row>
    <row r="1048" spans="1:15">
      <c r="A1048" s="1"/>
      <c r="B1048" s="1"/>
      <c r="C1048" s="41"/>
      <c r="E1048" s="42"/>
      <c r="F1048" s="42"/>
      <c r="H1048" s="20"/>
      <c r="I1048" s="20"/>
      <c r="J1048" s="20"/>
      <c r="O1048" s="20"/>
    </row>
    <row r="1049" spans="1:15">
      <c r="A1049" s="1"/>
      <c r="B1049" s="1"/>
      <c r="C1049" s="41"/>
      <c r="E1049" s="42"/>
      <c r="F1049" s="42"/>
      <c r="H1049" s="20"/>
      <c r="I1049" s="20"/>
      <c r="J1049" s="20"/>
      <c r="O1049" s="20"/>
    </row>
    <row r="1050" spans="1:15">
      <c r="A1050" s="1"/>
      <c r="B1050" s="1"/>
      <c r="C1050" s="41"/>
      <c r="E1050" s="42"/>
      <c r="F1050" s="42"/>
      <c r="H1050" s="20"/>
      <c r="I1050" s="20"/>
      <c r="J1050" s="20"/>
      <c r="O1050" s="20"/>
    </row>
    <row r="1051" spans="1:15">
      <c r="A1051" s="1"/>
      <c r="B1051" s="1"/>
      <c r="C1051" s="41"/>
      <c r="E1051" s="42"/>
      <c r="F1051" s="42"/>
      <c r="H1051" s="20"/>
      <c r="I1051" s="20"/>
      <c r="J1051" s="20"/>
      <c r="O1051" s="20"/>
    </row>
    <row r="1052" spans="1:15">
      <c r="A1052" s="1"/>
      <c r="B1052" s="1"/>
      <c r="C1052" s="41"/>
      <c r="E1052" s="42"/>
      <c r="F1052" s="42"/>
      <c r="H1052" s="20"/>
      <c r="I1052" s="20"/>
      <c r="J1052" s="20"/>
      <c r="O1052" s="20"/>
    </row>
    <row r="1053" spans="1:15">
      <c r="A1053" s="1"/>
      <c r="B1053" s="1"/>
      <c r="C1053" s="41"/>
      <c r="E1053" s="42"/>
      <c r="F1053" s="42"/>
      <c r="H1053" s="20"/>
      <c r="I1053" s="20"/>
      <c r="J1053" s="20"/>
      <c r="O1053" s="20"/>
    </row>
    <row r="1054" spans="1:15">
      <c r="A1054" s="1"/>
      <c r="B1054" s="1"/>
      <c r="C1054" s="41"/>
      <c r="E1054" s="42"/>
      <c r="F1054" s="42"/>
      <c r="H1054" s="20"/>
      <c r="I1054" s="20"/>
      <c r="J1054" s="20"/>
      <c r="O1054" s="20"/>
    </row>
    <row r="1055" spans="1:15">
      <c r="A1055" s="1"/>
      <c r="B1055" s="1"/>
      <c r="C1055" s="41"/>
      <c r="E1055" s="42"/>
      <c r="F1055" s="42"/>
      <c r="H1055" s="20"/>
      <c r="I1055" s="20"/>
      <c r="J1055" s="20"/>
      <c r="O1055" s="20"/>
    </row>
    <row r="1056" spans="1:15">
      <c r="A1056" s="1"/>
      <c r="B1056" s="1"/>
      <c r="C1056" s="41"/>
      <c r="E1056" s="42"/>
      <c r="F1056" s="42"/>
      <c r="H1056" s="20"/>
      <c r="I1056" s="20"/>
      <c r="J1056" s="20"/>
      <c r="O1056" s="20"/>
    </row>
    <row r="1057" spans="1:15">
      <c r="A1057" s="1"/>
      <c r="B1057" s="1"/>
      <c r="C1057" s="41"/>
      <c r="E1057" s="42"/>
      <c r="F1057" s="42"/>
      <c r="H1057" s="20"/>
      <c r="I1057" s="20"/>
      <c r="J1057" s="20"/>
      <c r="O1057" s="20"/>
    </row>
    <row r="1058" spans="1:15">
      <c r="A1058" s="1"/>
      <c r="B1058" s="1"/>
      <c r="C1058" s="41"/>
      <c r="E1058" s="42"/>
      <c r="F1058" s="42"/>
      <c r="H1058" s="20"/>
      <c r="I1058" s="20"/>
      <c r="J1058" s="20"/>
      <c r="O1058" s="20"/>
    </row>
    <row r="1059" spans="1:15">
      <c r="A1059" s="1"/>
      <c r="B1059" s="1"/>
      <c r="C1059" s="41"/>
      <c r="E1059" s="42"/>
      <c r="F1059" s="42"/>
      <c r="H1059" s="20"/>
      <c r="I1059" s="20"/>
      <c r="J1059" s="20"/>
      <c r="O1059" s="20"/>
    </row>
    <row r="1060" spans="1:15">
      <c r="A1060" s="1"/>
      <c r="B1060" s="1"/>
      <c r="C1060" s="41"/>
      <c r="E1060" s="42"/>
      <c r="F1060" s="42"/>
      <c r="H1060" s="20"/>
      <c r="I1060" s="20"/>
      <c r="J1060" s="20"/>
      <c r="O1060" s="20"/>
    </row>
    <row r="1061" spans="1:15">
      <c r="A1061" s="1"/>
      <c r="B1061" s="1"/>
      <c r="C1061" s="41"/>
      <c r="E1061" s="42"/>
      <c r="F1061" s="42"/>
      <c r="H1061" s="20"/>
      <c r="I1061" s="20"/>
      <c r="J1061" s="20"/>
      <c r="O1061" s="20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 Duc</cp:lastModifiedBy>
  <dcterms:modified xsi:type="dcterms:W3CDTF">2026-01-11T17:14:58Z</dcterms:modified>
</cp:coreProperties>
</file>